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lock wise - 21 - 26" sheetId="1" r:id="rId5"/>
  </sheets>
  <definedNames/>
  <calcPr/>
</workbook>
</file>

<file path=xl/sharedStrings.xml><?xml version="1.0" encoding="utf-8"?>
<sst xmlns="http://schemas.openxmlformats.org/spreadsheetml/2006/main" count="368" uniqueCount="43">
  <si>
    <t>Anaicut Block - Rashtriya Bal Swasthya Karyakram (RBSK) - 2021 - 2026</t>
  </si>
  <si>
    <t>Sl. No</t>
  </si>
  <si>
    <t>DISTRICT</t>
  </si>
  <si>
    <t>Disease Condition</t>
  </si>
  <si>
    <t>Live Birth / Target</t>
  </si>
  <si>
    <t>Prevalence / Live Birth</t>
  </si>
  <si>
    <t>Expected Cases</t>
  </si>
  <si>
    <t>Children Confirmed</t>
  </si>
  <si>
    <t>Children Medically Managed</t>
  </si>
  <si>
    <t>Children Needed Surgery</t>
  </si>
  <si>
    <t>Surgery Done</t>
  </si>
  <si>
    <t>Death before surgery</t>
  </si>
  <si>
    <t>Children Due for Surgery</t>
  </si>
  <si>
    <t>Percentage of Surgery Done</t>
  </si>
  <si>
    <t xml:space="preserve">Surgery pending </t>
  </si>
  <si>
    <t>&lt;1 month</t>
  </si>
  <si>
    <t>1-3 months</t>
  </si>
  <si>
    <t>3 -6 months</t>
  </si>
  <si>
    <t>&gt;6 months</t>
  </si>
  <si>
    <t>Live Birth</t>
  </si>
  <si>
    <t>Pre</t>
  </si>
  <si>
    <t>Vellore</t>
  </si>
  <si>
    <t>Coronary Heart Disease</t>
  </si>
  <si>
    <t>9/1000</t>
  </si>
  <si>
    <t>Rheumatic Heart Disease</t>
  </si>
  <si>
    <t>1/1000 (5-15 Years)</t>
  </si>
  <si>
    <t>Club Foot</t>
  </si>
  <si>
    <t>2/1000</t>
  </si>
  <si>
    <t>Cleft Lip &amp; Palate</t>
  </si>
  <si>
    <t>0.93/1000</t>
  </si>
  <si>
    <t>Cong. Cataract</t>
  </si>
  <si>
    <t>0.8/10000 (0-6  Years)</t>
  </si>
  <si>
    <t>Cong. Deafness</t>
  </si>
  <si>
    <t>4/1000</t>
  </si>
  <si>
    <t>NTD</t>
  </si>
  <si>
    <t>Gudiyatham Block - Rashtriya Bal Swasthya Karyakram (RBSK) - 2021 - 2026</t>
  </si>
  <si>
    <t>K.V.Kuppam Block - Rashtriya Bal Swasthya Karyakram (RBSK) - 2021 - 2026</t>
  </si>
  <si>
    <t>Kaniyambadi Block - Rashtriya Bal Swasthya Karyakram (RBSK) - 2021 - 2026</t>
  </si>
  <si>
    <t>Katpadi Block - Rashtriya Bal Swasthya Karyakram (RBSK) - 2021 - 2026</t>
  </si>
  <si>
    <t>Pernambut Block - Rashtriya Bal Swasthya Karyakram (RBSK) - 2021 - 2026</t>
  </si>
  <si>
    <t>Vellore Block - Rashtriya Bal Swasthya Karyakram (RBSK) - 2021 - 2026</t>
  </si>
  <si>
    <t>Vellore Corporation - Rashtriya Bal Swasthya Karyakram (RBSK) - 2021 - 2026</t>
  </si>
  <si>
    <t>Vellore District - Rashtriya Bal Swasthya Karyakram (RBSK) - 2021 - 2026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</si>
</sst>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1.0"/>
      <color rgb="FF000000"/>
      <name val="Arial"/>
      <scheme val="minor"/>
    </font>
    <font>
      <b/>
      <sz val="10.0"/>
      <color theme="1"/>
      <name val="Bookman Old Style"/>
    </font>
    <font/>
    <font>
      <sz val="10.0"/>
      <color theme="1"/>
      <name val="Bookman Old Style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9">
    <border/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bottom" wrapText="0"/>
    </xf>
    <xf borderId="3" fillId="0" fontId="1" numFmtId="0" xfId="0" applyAlignment="1" applyBorder="1" applyFont="1">
      <alignment horizontal="center" readingOrder="1" shrinkToFit="0" vertical="center" wrapText="1"/>
    </xf>
    <xf borderId="4" fillId="0" fontId="1" numFmtId="0" xfId="0" applyAlignment="1" applyBorder="1" applyFont="1">
      <alignment horizontal="center" readingOrder="1" shrinkToFit="0" vertical="center" wrapText="1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1" numFmtId="0" xfId="0" applyAlignment="1" applyBorder="1" applyFont="1">
      <alignment horizontal="center" readingOrder="1" shrinkToFit="0" vertical="center" wrapText="1"/>
    </xf>
    <xf borderId="0" fillId="0" fontId="3" numFmtId="0" xfId="0" applyAlignment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shrinkToFit="0" vertical="center" wrapText="1"/>
    </xf>
    <xf borderId="8" fillId="0" fontId="3" numFmtId="164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0"/>
    </xf>
    <xf borderId="8" fillId="0" fontId="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4.88"/>
    <col customWidth="1" hidden="1" min="2" max="2" width="9.0"/>
    <col customWidth="1" min="3" max="3" width="14.88"/>
    <col customWidth="1" min="4" max="4" width="9.63"/>
    <col customWidth="1" min="5" max="5" width="11.88"/>
    <col customWidth="1" min="6" max="6" width="10.75"/>
    <col customWidth="1" min="7" max="7" width="12.13"/>
    <col customWidth="1" min="8" max="8" width="11.63"/>
    <col customWidth="1" min="9" max="9" width="10.88"/>
    <col customWidth="1" min="10" max="10" width="9.75"/>
    <col customWidth="1" min="11" max="11" width="9.0"/>
    <col customWidth="1" min="12" max="12" width="10.38"/>
    <col customWidth="1" min="13" max="13" width="12.88"/>
    <col customWidth="1" min="14" max="14" width="8.63"/>
    <col customWidth="1" min="15" max="17" width="9.13"/>
    <col customWidth="1" min="18" max="20" width="8.75"/>
    <col customWidth="1" min="21" max="26" width="14.38"/>
  </cols>
  <sheetData>
    <row r="1" ht="24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  <c r="S1" s="3"/>
      <c r="T1" s="3"/>
    </row>
    <row r="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</row>
    <row r="3" ht="32.25" customHeight="1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6" t="s">
        <v>14</v>
      </c>
      <c r="O3" s="7"/>
      <c r="P3" s="7"/>
      <c r="Q3" s="8"/>
      <c r="R3" s="4"/>
      <c r="S3" s="4"/>
      <c r="T3" s="4"/>
    </row>
    <row r="4" ht="39.0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10" t="s">
        <v>15</v>
      </c>
      <c r="O4" s="10" t="s">
        <v>16</v>
      </c>
      <c r="P4" s="10" t="s">
        <v>17</v>
      </c>
      <c r="Q4" s="10" t="s">
        <v>18</v>
      </c>
      <c r="R4" s="11" t="s">
        <v>19</v>
      </c>
      <c r="S4" s="11" t="s">
        <v>20</v>
      </c>
      <c r="T4" s="11"/>
    </row>
    <row r="5" ht="37.5" customHeight="1">
      <c r="A5" s="12">
        <v>1.0</v>
      </c>
      <c r="B5" s="12" t="s">
        <v>21</v>
      </c>
      <c r="C5" s="13" t="s">
        <v>22</v>
      </c>
      <c r="D5" s="12">
        <f>R5</f>
        <v>13741</v>
      </c>
      <c r="E5" s="12" t="s">
        <v>23</v>
      </c>
      <c r="F5" s="12">
        <f>ROUND(S5/T5*R5,0)</f>
        <v>124</v>
      </c>
      <c r="G5" s="12">
        <v>105.0</v>
      </c>
      <c r="H5" s="12">
        <v>66.0</v>
      </c>
      <c r="I5" s="12">
        <v>39.0</v>
      </c>
      <c r="J5" s="12">
        <v>38.0</v>
      </c>
      <c r="K5" s="12">
        <v>0.0</v>
      </c>
      <c r="L5" s="12">
        <f t="shared" ref="L5:L11" si="1">I5-J5</f>
        <v>1</v>
      </c>
      <c r="M5" s="14">
        <f t="shared" ref="M5:M11" si="2">J5/I5*100</f>
        <v>97.43589744</v>
      </c>
      <c r="N5" s="12">
        <v>0.0</v>
      </c>
      <c r="O5" s="12">
        <v>1.0</v>
      </c>
      <c r="P5" s="12">
        <v>0.0</v>
      </c>
      <c r="Q5" s="12">
        <v>0.0</v>
      </c>
      <c r="R5" s="15">
        <v>13741.0</v>
      </c>
      <c r="S5" s="15">
        <v>9.0</v>
      </c>
      <c r="T5" s="15">
        <v>1000.0</v>
      </c>
    </row>
    <row r="6" ht="37.5" customHeight="1">
      <c r="A6" s="12">
        <v>2.0</v>
      </c>
      <c r="B6" s="12" t="s">
        <v>21</v>
      </c>
      <c r="C6" s="13" t="s">
        <v>24</v>
      </c>
      <c r="D6" s="12">
        <v>27482.0</v>
      </c>
      <c r="E6" s="12" t="s">
        <v>25</v>
      </c>
      <c r="F6" s="16">
        <v>27.0</v>
      </c>
      <c r="G6" s="16">
        <v>69.0</v>
      </c>
      <c r="H6" s="16">
        <v>58.0</v>
      </c>
      <c r="I6" s="16">
        <v>11.0</v>
      </c>
      <c r="J6" s="16">
        <v>11.0</v>
      </c>
      <c r="K6" s="12">
        <v>0.0</v>
      </c>
      <c r="L6" s="12">
        <f t="shared" si="1"/>
        <v>0</v>
      </c>
      <c r="M6" s="14">
        <f t="shared" si="2"/>
        <v>100</v>
      </c>
      <c r="N6" s="12">
        <v>0.0</v>
      </c>
      <c r="O6" s="12">
        <v>0.0</v>
      </c>
      <c r="P6" s="12">
        <v>0.0</v>
      </c>
      <c r="Q6" s="12">
        <v>0.0</v>
      </c>
      <c r="R6" s="15">
        <f>R5*10</f>
        <v>137410</v>
      </c>
      <c r="S6" s="15">
        <v>1.0</v>
      </c>
      <c r="T6" s="15">
        <v>1000.0</v>
      </c>
    </row>
    <row r="7" ht="37.5" customHeight="1">
      <c r="A7" s="12">
        <v>3.0</v>
      </c>
      <c r="B7" s="12" t="s">
        <v>21</v>
      </c>
      <c r="C7" s="13" t="s">
        <v>26</v>
      </c>
      <c r="D7" s="12">
        <f t="shared" ref="D7:D8" si="3">R7</f>
        <v>13741</v>
      </c>
      <c r="E7" s="12" t="s">
        <v>27</v>
      </c>
      <c r="F7" s="12">
        <f t="shared" ref="F7:F8" si="4">ROUND(S7/T7*R7,0)</f>
        <v>27</v>
      </c>
      <c r="G7" s="12">
        <v>16.0</v>
      </c>
      <c r="H7" s="12">
        <v>15.0</v>
      </c>
      <c r="I7" s="12">
        <v>1.0</v>
      </c>
      <c r="J7" s="12">
        <v>1.0</v>
      </c>
      <c r="K7" s="12">
        <v>0.0</v>
      </c>
      <c r="L7" s="12">
        <f t="shared" si="1"/>
        <v>0</v>
      </c>
      <c r="M7" s="14">
        <f t="shared" si="2"/>
        <v>100</v>
      </c>
      <c r="N7" s="12">
        <v>0.0</v>
      </c>
      <c r="O7" s="12">
        <v>0.0</v>
      </c>
      <c r="P7" s="12">
        <v>0.0</v>
      </c>
      <c r="Q7" s="12">
        <v>0.0</v>
      </c>
      <c r="R7" s="15">
        <f>R5</f>
        <v>13741</v>
      </c>
      <c r="S7" s="15">
        <v>2.0</v>
      </c>
      <c r="T7" s="15">
        <v>1000.0</v>
      </c>
    </row>
    <row r="8" ht="37.5" customHeight="1">
      <c r="A8" s="12">
        <v>4.0</v>
      </c>
      <c r="B8" s="12" t="s">
        <v>21</v>
      </c>
      <c r="C8" s="13" t="s">
        <v>28</v>
      </c>
      <c r="D8" s="12">
        <f t="shared" si="3"/>
        <v>13741</v>
      </c>
      <c r="E8" s="12" t="s">
        <v>29</v>
      </c>
      <c r="F8" s="12">
        <f t="shared" si="4"/>
        <v>13</v>
      </c>
      <c r="G8" s="12">
        <v>13.0</v>
      </c>
      <c r="H8" s="12">
        <v>2.0</v>
      </c>
      <c r="I8" s="12">
        <v>11.0</v>
      </c>
      <c r="J8" s="12">
        <v>11.0</v>
      </c>
      <c r="K8" s="12">
        <v>0.0</v>
      </c>
      <c r="L8" s="12">
        <f t="shared" si="1"/>
        <v>0</v>
      </c>
      <c r="M8" s="14">
        <f t="shared" si="2"/>
        <v>100</v>
      </c>
      <c r="N8" s="12">
        <v>0.0</v>
      </c>
      <c r="O8" s="12">
        <v>0.0</v>
      </c>
      <c r="P8" s="12">
        <v>0.0</v>
      </c>
      <c r="Q8" s="12">
        <v>0.0</v>
      </c>
      <c r="R8" s="15">
        <f>R5</f>
        <v>13741</v>
      </c>
      <c r="S8" s="15">
        <v>0.93</v>
      </c>
      <c r="T8" s="15">
        <v>1000.0</v>
      </c>
    </row>
    <row r="9" ht="37.5" customHeight="1">
      <c r="A9" s="12">
        <v>5.0</v>
      </c>
      <c r="B9" s="12" t="s">
        <v>21</v>
      </c>
      <c r="C9" s="13" t="s">
        <v>30</v>
      </c>
      <c r="D9" s="12">
        <v>16489.0</v>
      </c>
      <c r="E9" s="12" t="s">
        <v>31</v>
      </c>
      <c r="F9" s="16">
        <v>1.0</v>
      </c>
      <c r="G9" s="12">
        <v>2.0</v>
      </c>
      <c r="H9" s="12">
        <v>1.0</v>
      </c>
      <c r="I9" s="12">
        <v>1.0</v>
      </c>
      <c r="J9" s="12">
        <v>1.0</v>
      </c>
      <c r="K9" s="12">
        <v>0.0</v>
      </c>
      <c r="L9" s="12">
        <f t="shared" si="1"/>
        <v>0</v>
      </c>
      <c r="M9" s="14">
        <f t="shared" si="2"/>
        <v>100</v>
      </c>
      <c r="N9" s="12">
        <v>0.0</v>
      </c>
      <c r="O9" s="12">
        <v>0.0</v>
      </c>
      <c r="P9" s="12">
        <v>0.0</v>
      </c>
      <c r="Q9" s="12">
        <v>0.0</v>
      </c>
      <c r="R9" s="15">
        <f>R8*6</f>
        <v>82446</v>
      </c>
      <c r="S9" s="15">
        <v>0.8</v>
      </c>
      <c r="T9" s="15">
        <v>10000.0</v>
      </c>
    </row>
    <row r="10" ht="37.5" customHeight="1">
      <c r="A10" s="12">
        <v>6.0</v>
      </c>
      <c r="B10" s="12" t="s">
        <v>21</v>
      </c>
      <c r="C10" s="13" t="s">
        <v>32</v>
      </c>
      <c r="D10" s="12">
        <f t="shared" ref="D10:D11" si="5">R10</f>
        <v>13741</v>
      </c>
      <c r="E10" s="12" t="s">
        <v>33</v>
      </c>
      <c r="F10" s="12">
        <f t="shared" ref="F10:F11" si="6">ROUND(S10/T10*R10,0)</f>
        <v>55</v>
      </c>
      <c r="G10" s="12">
        <v>4.0</v>
      </c>
      <c r="H10" s="12">
        <v>1.0</v>
      </c>
      <c r="I10" s="12">
        <v>3.0</v>
      </c>
      <c r="J10" s="12">
        <v>3.0</v>
      </c>
      <c r="K10" s="12">
        <v>0.0</v>
      </c>
      <c r="L10" s="12">
        <f t="shared" si="1"/>
        <v>0</v>
      </c>
      <c r="M10" s="14">
        <f t="shared" si="2"/>
        <v>100</v>
      </c>
      <c r="N10" s="12">
        <v>0.0</v>
      </c>
      <c r="O10" s="12">
        <v>0.0</v>
      </c>
      <c r="P10" s="12">
        <v>0.0</v>
      </c>
      <c r="Q10" s="12">
        <v>0.0</v>
      </c>
      <c r="R10" s="15">
        <f>R5</f>
        <v>13741</v>
      </c>
      <c r="S10" s="15">
        <v>4.0</v>
      </c>
      <c r="T10" s="15">
        <v>1000.0</v>
      </c>
    </row>
    <row r="11" ht="37.5" customHeight="1">
      <c r="A11" s="12">
        <v>7.0</v>
      </c>
      <c r="B11" s="12" t="s">
        <v>21</v>
      </c>
      <c r="C11" s="13" t="s">
        <v>34</v>
      </c>
      <c r="D11" s="12">
        <f t="shared" si="5"/>
        <v>13741</v>
      </c>
      <c r="E11" s="12" t="s">
        <v>33</v>
      </c>
      <c r="F11" s="12">
        <f t="shared" si="6"/>
        <v>55</v>
      </c>
      <c r="G11" s="12">
        <v>2.0</v>
      </c>
      <c r="H11" s="12">
        <v>1.0</v>
      </c>
      <c r="I11" s="12">
        <v>1.0</v>
      </c>
      <c r="J11" s="12">
        <v>1.0</v>
      </c>
      <c r="K11" s="12">
        <v>0.0</v>
      </c>
      <c r="L11" s="12">
        <f t="shared" si="1"/>
        <v>0</v>
      </c>
      <c r="M11" s="14">
        <f t="shared" si="2"/>
        <v>100</v>
      </c>
      <c r="N11" s="12">
        <v>0.0</v>
      </c>
      <c r="O11" s="12">
        <v>0.0</v>
      </c>
      <c r="P11" s="12">
        <v>0.0</v>
      </c>
      <c r="Q11" s="12">
        <v>0.0</v>
      </c>
      <c r="R11" s="15">
        <f>R5</f>
        <v>13741</v>
      </c>
      <c r="S11" s="15">
        <v>4.0</v>
      </c>
      <c r="T11" s="15">
        <v>1000.0</v>
      </c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</row>
    <row r="13" ht="24.75" customHeight="1">
      <c r="A13" s="1" t="s">
        <v>35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3"/>
      <c r="S13" s="3"/>
      <c r="T13" s="3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</row>
    <row r="15" ht="32.25" customHeight="1">
      <c r="A15" s="5" t="s">
        <v>1</v>
      </c>
      <c r="B15" s="5" t="s">
        <v>2</v>
      </c>
      <c r="C15" s="5" t="s">
        <v>3</v>
      </c>
      <c r="D15" s="5" t="s">
        <v>4</v>
      </c>
      <c r="E15" s="5" t="s">
        <v>5</v>
      </c>
      <c r="F15" s="5" t="s">
        <v>6</v>
      </c>
      <c r="G15" s="5" t="s">
        <v>7</v>
      </c>
      <c r="H15" s="5" t="s">
        <v>8</v>
      </c>
      <c r="I15" s="5" t="s">
        <v>9</v>
      </c>
      <c r="J15" s="5" t="s">
        <v>10</v>
      </c>
      <c r="K15" s="5" t="s">
        <v>11</v>
      </c>
      <c r="L15" s="5" t="s">
        <v>12</v>
      </c>
      <c r="M15" s="5" t="s">
        <v>13</v>
      </c>
      <c r="N15" s="6" t="s">
        <v>14</v>
      </c>
      <c r="O15" s="7"/>
      <c r="P15" s="7"/>
      <c r="Q15" s="8"/>
      <c r="R15" s="4"/>
      <c r="S15" s="4"/>
      <c r="T15" s="4"/>
    </row>
    <row r="16" ht="39.0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10" t="s">
        <v>15</v>
      </c>
      <c r="O16" s="10" t="s">
        <v>16</v>
      </c>
      <c r="P16" s="10" t="s">
        <v>17</v>
      </c>
      <c r="Q16" s="10" t="s">
        <v>18</v>
      </c>
      <c r="R16" s="11" t="s">
        <v>19</v>
      </c>
      <c r="S16" s="11" t="s">
        <v>20</v>
      </c>
      <c r="T16" s="11"/>
    </row>
    <row r="17" ht="37.5" customHeight="1">
      <c r="A17" s="12">
        <v>1.0</v>
      </c>
      <c r="B17" s="12" t="s">
        <v>21</v>
      </c>
      <c r="C17" s="13" t="s">
        <v>22</v>
      </c>
      <c r="D17" s="12">
        <f>R17</f>
        <v>17424</v>
      </c>
      <c r="E17" s="12" t="s">
        <v>23</v>
      </c>
      <c r="F17" s="12">
        <f>ROUND(S17/T17*R17,0)</f>
        <v>157</v>
      </c>
      <c r="G17" s="12">
        <v>114.0</v>
      </c>
      <c r="H17" s="12">
        <v>81.0</v>
      </c>
      <c r="I17" s="12">
        <v>33.0</v>
      </c>
      <c r="J17" s="12">
        <v>33.0</v>
      </c>
      <c r="K17" s="12">
        <v>0.0</v>
      </c>
      <c r="L17" s="12">
        <f t="shared" ref="L17:L23" si="7">I17-J17</f>
        <v>0</v>
      </c>
      <c r="M17" s="14">
        <f t="shared" ref="M17:M23" si="8">J17/I17*100</f>
        <v>100</v>
      </c>
      <c r="N17" s="12">
        <v>0.0</v>
      </c>
      <c r="O17" s="12">
        <v>0.0</v>
      </c>
      <c r="P17" s="12">
        <v>0.0</v>
      </c>
      <c r="Q17" s="12">
        <v>0.0</v>
      </c>
      <c r="R17" s="15">
        <v>17424.0</v>
      </c>
      <c r="S17" s="15">
        <v>9.0</v>
      </c>
      <c r="T17" s="15">
        <v>1000.0</v>
      </c>
    </row>
    <row r="18" ht="37.5" customHeight="1">
      <c r="A18" s="12">
        <v>2.0</v>
      </c>
      <c r="B18" s="12" t="s">
        <v>21</v>
      </c>
      <c r="C18" s="13" t="s">
        <v>24</v>
      </c>
      <c r="D18" s="16">
        <v>34848.0</v>
      </c>
      <c r="E18" s="12" t="s">
        <v>25</v>
      </c>
      <c r="F18" s="16">
        <v>34.0</v>
      </c>
      <c r="G18" s="16">
        <v>23.0</v>
      </c>
      <c r="H18" s="16">
        <v>20.0</v>
      </c>
      <c r="I18" s="16">
        <v>3.0</v>
      </c>
      <c r="J18" s="16">
        <v>3.0</v>
      </c>
      <c r="K18" s="12">
        <v>0.0</v>
      </c>
      <c r="L18" s="12">
        <f t="shared" si="7"/>
        <v>0</v>
      </c>
      <c r="M18" s="14">
        <f t="shared" si="8"/>
        <v>100</v>
      </c>
      <c r="N18" s="12">
        <v>0.0</v>
      </c>
      <c r="O18" s="12">
        <v>0.0</v>
      </c>
      <c r="P18" s="12">
        <v>0.0</v>
      </c>
      <c r="Q18" s="12">
        <v>0.0</v>
      </c>
      <c r="R18" s="15">
        <f>R17*10</f>
        <v>174240</v>
      </c>
      <c r="S18" s="15">
        <v>1.0</v>
      </c>
      <c r="T18" s="15">
        <v>1000.0</v>
      </c>
    </row>
    <row r="19" ht="37.5" customHeight="1">
      <c r="A19" s="12">
        <v>3.0</v>
      </c>
      <c r="B19" s="12" t="s">
        <v>21</v>
      </c>
      <c r="C19" s="13" t="s">
        <v>26</v>
      </c>
      <c r="D19" s="12">
        <f t="shared" ref="D19:D20" si="9">R19</f>
        <v>17424</v>
      </c>
      <c r="E19" s="12" t="s">
        <v>27</v>
      </c>
      <c r="F19" s="12">
        <f t="shared" ref="F19:F20" si="10">ROUND(S19/T19*R19,0)</f>
        <v>35</v>
      </c>
      <c r="G19" s="12">
        <v>18.0</v>
      </c>
      <c r="H19" s="12">
        <v>16.0</v>
      </c>
      <c r="I19" s="12">
        <v>2.0</v>
      </c>
      <c r="J19" s="12">
        <v>2.0</v>
      </c>
      <c r="K19" s="12">
        <v>0.0</v>
      </c>
      <c r="L19" s="12">
        <f t="shared" si="7"/>
        <v>0</v>
      </c>
      <c r="M19" s="14">
        <f t="shared" si="8"/>
        <v>100</v>
      </c>
      <c r="N19" s="12">
        <v>0.0</v>
      </c>
      <c r="O19" s="12">
        <v>0.0</v>
      </c>
      <c r="P19" s="12">
        <v>0.0</v>
      </c>
      <c r="Q19" s="12">
        <v>0.0</v>
      </c>
      <c r="R19" s="15">
        <f>R17</f>
        <v>17424</v>
      </c>
      <c r="S19" s="15">
        <v>2.0</v>
      </c>
      <c r="T19" s="15">
        <v>1000.0</v>
      </c>
    </row>
    <row r="20" ht="37.5" customHeight="1">
      <c r="A20" s="12">
        <v>4.0</v>
      </c>
      <c r="B20" s="12" t="s">
        <v>21</v>
      </c>
      <c r="C20" s="13" t="s">
        <v>28</v>
      </c>
      <c r="D20" s="12">
        <f t="shared" si="9"/>
        <v>17424</v>
      </c>
      <c r="E20" s="12" t="s">
        <v>29</v>
      </c>
      <c r="F20" s="12">
        <f t="shared" si="10"/>
        <v>16</v>
      </c>
      <c r="G20" s="12">
        <v>10.0</v>
      </c>
      <c r="H20" s="12">
        <v>0.0</v>
      </c>
      <c r="I20" s="12">
        <v>10.0</v>
      </c>
      <c r="J20" s="12">
        <v>10.0</v>
      </c>
      <c r="K20" s="12">
        <v>0.0</v>
      </c>
      <c r="L20" s="12">
        <f t="shared" si="7"/>
        <v>0</v>
      </c>
      <c r="M20" s="14">
        <f t="shared" si="8"/>
        <v>100</v>
      </c>
      <c r="N20" s="12">
        <v>0.0</v>
      </c>
      <c r="O20" s="12">
        <v>0.0</v>
      </c>
      <c r="P20" s="12">
        <v>0.0</v>
      </c>
      <c r="Q20" s="12">
        <v>0.0</v>
      </c>
      <c r="R20" s="15">
        <f>R17</f>
        <v>17424</v>
      </c>
      <c r="S20" s="15">
        <v>0.93</v>
      </c>
      <c r="T20" s="15">
        <v>1000.0</v>
      </c>
    </row>
    <row r="21" ht="37.5" customHeight="1">
      <c r="A21" s="12">
        <v>5.0</v>
      </c>
      <c r="B21" s="12" t="s">
        <v>21</v>
      </c>
      <c r="C21" s="13" t="s">
        <v>30</v>
      </c>
      <c r="D21" s="16">
        <v>20908.0</v>
      </c>
      <c r="E21" s="12" t="s">
        <v>31</v>
      </c>
      <c r="F21" s="16">
        <v>2.0</v>
      </c>
      <c r="G21" s="12">
        <v>2.0</v>
      </c>
      <c r="H21" s="12">
        <v>1.0</v>
      </c>
      <c r="I21" s="12">
        <v>1.0</v>
      </c>
      <c r="J21" s="12">
        <v>1.0</v>
      </c>
      <c r="K21" s="12">
        <v>0.0</v>
      </c>
      <c r="L21" s="12">
        <f t="shared" si="7"/>
        <v>0</v>
      </c>
      <c r="M21" s="14">
        <f t="shared" si="8"/>
        <v>100</v>
      </c>
      <c r="N21" s="12">
        <v>0.0</v>
      </c>
      <c r="O21" s="12">
        <v>0.0</v>
      </c>
      <c r="P21" s="12">
        <v>0.0</v>
      </c>
      <c r="Q21" s="12">
        <v>0.0</v>
      </c>
      <c r="R21" s="15">
        <f>R20*6</f>
        <v>104544</v>
      </c>
      <c r="S21" s="15">
        <v>0.8</v>
      </c>
      <c r="T21" s="15">
        <v>10000.0</v>
      </c>
    </row>
    <row r="22" ht="37.5" customHeight="1">
      <c r="A22" s="12">
        <v>6.0</v>
      </c>
      <c r="B22" s="12" t="s">
        <v>21</v>
      </c>
      <c r="C22" s="13" t="s">
        <v>32</v>
      </c>
      <c r="D22" s="12">
        <f t="shared" ref="D22:D23" si="11">R22</f>
        <v>17424</v>
      </c>
      <c r="E22" s="12" t="s">
        <v>33</v>
      </c>
      <c r="F22" s="12">
        <f t="shared" ref="F22:F23" si="12">ROUND(S22/T22*R22,0)</f>
        <v>70</v>
      </c>
      <c r="G22" s="12">
        <v>8.0</v>
      </c>
      <c r="H22" s="12">
        <v>8.0</v>
      </c>
      <c r="I22" s="12">
        <v>0.0</v>
      </c>
      <c r="J22" s="12">
        <v>0.0</v>
      </c>
      <c r="K22" s="12">
        <v>0.0</v>
      </c>
      <c r="L22" s="12">
        <f t="shared" si="7"/>
        <v>0</v>
      </c>
      <c r="M22" s="14" t="str">
        <f t="shared" si="8"/>
        <v>#DIV/0!</v>
      </c>
      <c r="N22" s="12">
        <v>0.0</v>
      </c>
      <c r="O22" s="12">
        <v>0.0</v>
      </c>
      <c r="P22" s="12">
        <v>0.0</v>
      </c>
      <c r="Q22" s="12">
        <v>0.0</v>
      </c>
      <c r="R22" s="15">
        <f>R17</f>
        <v>17424</v>
      </c>
      <c r="S22" s="15">
        <v>4.0</v>
      </c>
      <c r="T22" s="15">
        <v>1000.0</v>
      </c>
    </row>
    <row r="23" ht="37.5" customHeight="1">
      <c r="A23" s="12">
        <v>7.0</v>
      </c>
      <c r="B23" s="12" t="s">
        <v>21</v>
      </c>
      <c r="C23" s="13" t="s">
        <v>34</v>
      </c>
      <c r="D23" s="12">
        <f t="shared" si="11"/>
        <v>17424</v>
      </c>
      <c r="E23" s="12" t="s">
        <v>33</v>
      </c>
      <c r="F23" s="12">
        <f t="shared" si="12"/>
        <v>70</v>
      </c>
      <c r="G23" s="12">
        <v>4.0</v>
      </c>
      <c r="H23" s="12">
        <v>2.0</v>
      </c>
      <c r="I23" s="12">
        <v>2.0</v>
      </c>
      <c r="J23" s="12">
        <v>2.0</v>
      </c>
      <c r="K23" s="12">
        <v>0.0</v>
      </c>
      <c r="L23" s="12">
        <f t="shared" si="7"/>
        <v>0</v>
      </c>
      <c r="M23" s="14">
        <f t="shared" si="8"/>
        <v>100</v>
      </c>
      <c r="N23" s="12">
        <v>0.0</v>
      </c>
      <c r="O23" s="12">
        <v>0.0</v>
      </c>
      <c r="P23" s="12">
        <v>0.0</v>
      </c>
      <c r="Q23" s="12">
        <v>0.0</v>
      </c>
      <c r="R23" s="15">
        <f>R17</f>
        <v>17424</v>
      </c>
      <c r="S23" s="15">
        <v>4.0</v>
      </c>
      <c r="T23" s="15">
        <v>1000.0</v>
      </c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</row>
    <row r="25" ht="24.75" customHeight="1">
      <c r="A25" s="1" t="s">
        <v>36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3"/>
      <c r="S25" s="3"/>
      <c r="T25" s="3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</row>
    <row r="27" ht="32.25" customHeight="1">
      <c r="A27" s="5" t="s">
        <v>1</v>
      </c>
      <c r="B27" s="5" t="s">
        <v>2</v>
      </c>
      <c r="C27" s="5" t="s">
        <v>3</v>
      </c>
      <c r="D27" s="5" t="s">
        <v>4</v>
      </c>
      <c r="E27" s="5" t="s">
        <v>5</v>
      </c>
      <c r="F27" s="5" t="s">
        <v>6</v>
      </c>
      <c r="G27" s="5" t="s">
        <v>7</v>
      </c>
      <c r="H27" s="5" t="s">
        <v>8</v>
      </c>
      <c r="I27" s="5" t="s">
        <v>9</v>
      </c>
      <c r="J27" s="5" t="s">
        <v>10</v>
      </c>
      <c r="K27" s="5" t="s">
        <v>11</v>
      </c>
      <c r="L27" s="5" t="s">
        <v>12</v>
      </c>
      <c r="M27" s="5" t="s">
        <v>13</v>
      </c>
      <c r="N27" s="6" t="s">
        <v>14</v>
      </c>
      <c r="O27" s="7"/>
      <c r="P27" s="7"/>
      <c r="Q27" s="8"/>
      <c r="R27" s="4"/>
      <c r="S27" s="4"/>
      <c r="T27" s="4"/>
    </row>
    <row r="28" ht="39.0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10" t="s">
        <v>15</v>
      </c>
      <c r="O28" s="10" t="s">
        <v>16</v>
      </c>
      <c r="P28" s="10" t="s">
        <v>17</v>
      </c>
      <c r="Q28" s="10" t="s">
        <v>18</v>
      </c>
      <c r="R28" s="11" t="s">
        <v>19</v>
      </c>
      <c r="S28" s="11" t="s">
        <v>20</v>
      </c>
      <c r="T28" s="11"/>
    </row>
    <row r="29" ht="37.5" customHeight="1">
      <c r="A29" s="12">
        <v>1.0</v>
      </c>
      <c r="B29" s="12" t="s">
        <v>21</v>
      </c>
      <c r="C29" s="13" t="s">
        <v>22</v>
      </c>
      <c r="D29" s="12">
        <f>R29</f>
        <v>8115</v>
      </c>
      <c r="E29" s="12" t="s">
        <v>23</v>
      </c>
      <c r="F29" s="12">
        <f>ROUND(S29/T29*R29,0)</f>
        <v>73</v>
      </c>
      <c r="G29" s="12">
        <v>92.0</v>
      </c>
      <c r="H29" s="12">
        <v>64.0</v>
      </c>
      <c r="I29" s="12">
        <v>28.0</v>
      </c>
      <c r="J29" s="12">
        <v>28.0</v>
      </c>
      <c r="K29" s="12">
        <v>0.0</v>
      </c>
      <c r="L29" s="12">
        <f t="shared" ref="L29:L35" si="13">I29-J29</f>
        <v>0</v>
      </c>
      <c r="M29" s="14">
        <f t="shared" ref="M29:M35" si="14">J29/I29*100</f>
        <v>100</v>
      </c>
      <c r="N29" s="12">
        <v>0.0</v>
      </c>
      <c r="O29" s="12">
        <v>0.0</v>
      </c>
      <c r="P29" s="12">
        <v>0.0</v>
      </c>
      <c r="Q29" s="12">
        <v>0.0</v>
      </c>
      <c r="R29" s="15">
        <v>8115.0</v>
      </c>
      <c r="S29" s="15">
        <v>9.0</v>
      </c>
      <c r="T29" s="15">
        <v>1000.0</v>
      </c>
    </row>
    <row r="30" ht="37.5" customHeight="1">
      <c r="A30" s="12">
        <v>2.0</v>
      </c>
      <c r="B30" s="12" t="s">
        <v>21</v>
      </c>
      <c r="C30" s="13" t="s">
        <v>24</v>
      </c>
      <c r="D30" s="16">
        <v>16230.0</v>
      </c>
      <c r="E30" s="12" t="s">
        <v>25</v>
      </c>
      <c r="F30" s="16">
        <v>16.0</v>
      </c>
      <c r="G30" s="16">
        <v>26.0</v>
      </c>
      <c r="H30" s="16">
        <v>26.0</v>
      </c>
      <c r="I30" s="16">
        <v>0.0</v>
      </c>
      <c r="J30" s="16">
        <v>0.0</v>
      </c>
      <c r="K30" s="12">
        <v>0.0</v>
      </c>
      <c r="L30" s="12">
        <f t="shared" si="13"/>
        <v>0</v>
      </c>
      <c r="M30" s="14" t="str">
        <f t="shared" si="14"/>
        <v>#DIV/0!</v>
      </c>
      <c r="N30" s="12">
        <v>0.0</v>
      </c>
      <c r="O30" s="12">
        <v>0.0</v>
      </c>
      <c r="P30" s="12">
        <v>0.0</v>
      </c>
      <c r="Q30" s="12">
        <v>0.0</v>
      </c>
      <c r="R30" s="15">
        <f>R29*10</f>
        <v>81150</v>
      </c>
      <c r="S30" s="15">
        <v>1.0</v>
      </c>
      <c r="T30" s="15">
        <v>1000.0</v>
      </c>
    </row>
    <row r="31" ht="37.5" customHeight="1">
      <c r="A31" s="12">
        <v>3.0</v>
      </c>
      <c r="B31" s="12" t="s">
        <v>21</v>
      </c>
      <c r="C31" s="13" t="s">
        <v>26</v>
      </c>
      <c r="D31" s="12">
        <f t="shared" ref="D31:D32" si="15">R31</f>
        <v>8115</v>
      </c>
      <c r="E31" s="12" t="s">
        <v>27</v>
      </c>
      <c r="F31" s="12">
        <f t="shared" ref="F31:F32" si="16">ROUND(S31/T31*R31,0)</f>
        <v>16</v>
      </c>
      <c r="G31" s="12">
        <v>15.0</v>
      </c>
      <c r="H31" s="12">
        <v>14.0</v>
      </c>
      <c r="I31" s="12">
        <v>1.0</v>
      </c>
      <c r="J31" s="12">
        <v>1.0</v>
      </c>
      <c r="K31" s="12">
        <v>0.0</v>
      </c>
      <c r="L31" s="12">
        <f t="shared" si="13"/>
        <v>0</v>
      </c>
      <c r="M31" s="14">
        <f t="shared" si="14"/>
        <v>100</v>
      </c>
      <c r="N31" s="12">
        <v>0.0</v>
      </c>
      <c r="O31" s="12">
        <v>0.0</v>
      </c>
      <c r="P31" s="12">
        <v>0.0</v>
      </c>
      <c r="Q31" s="12">
        <v>0.0</v>
      </c>
      <c r="R31" s="15">
        <f>R29</f>
        <v>8115</v>
      </c>
      <c r="S31" s="15">
        <v>2.0</v>
      </c>
      <c r="T31" s="15">
        <v>1000.0</v>
      </c>
    </row>
    <row r="32" ht="37.5" customHeight="1">
      <c r="A32" s="12">
        <v>4.0</v>
      </c>
      <c r="B32" s="12" t="s">
        <v>21</v>
      </c>
      <c r="C32" s="13" t="s">
        <v>28</v>
      </c>
      <c r="D32" s="12">
        <f t="shared" si="15"/>
        <v>8115</v>
      </c>
      <c r="E32" s="12" t="s">
        <v>29</v>
      </c>
      <c r="F32" s="12">
        <f t="shared" si="16"/>
        <v>8</v>
      </c>
      <c r="G32" s="12">
        <v>2.0</v>
      </c>
      <c r="H32" s="12">
        <v>0.0</v>
      </c>
      <c r="I32" s="12">
        <v>2.0</v>
      </c>
      <c r="J32" s="12">
        <v>1.0</v>
      </c>
      <c r="K32" s="12">
        <v>0.0</v>
      </c>
      <c r="L32" s="12">
        <f t="shared" si="13"/>
        <v>1</v>
      </c>
      <c r="M32" s="14">
        <f t="shared" si="14"/>
        <v>50</v>
      </c>
      <c r="N32" s="12">
        <v>1.0</v>
      </c>
      <c r="O32" s="12">
        <v>0.0</v>
      </c>
      <c r="P32" s="12">
        <v>0.0</v>
      </c>
      <c r="Q32" s="12">
        <v>0.0</v>
      </c>
      <c r="R32" s="15">
        <f>R29</f>
        <v>8115</v>
      </c>
      <c r="S32" s="15">
        <v>0.93</v>
      </c>
      <c r="T32" s="15">
        <v>1000.0</v>
      </c>
    </row>
    <row r="33" ht="37.5" customHeight="1">
      <c r="A33" s="12">
        <v>5.0</v>
      </c>
      <c r="B33" s="12" t="s">
        <v>21</v>
      </c>
      <c r="C33" s="13" t="s">
        <v>30</v>
      </c>
      <c r="D33" s="16">
        <v>9738.0</v>
      </c>
      <c r="E33" s="12" t="s">
        <v>31</v>
      </c>
      <c r="F33" s="16">
        <v>1.0</v>
      </c>
      <c r="G33" s="12">
        <v>0.0</v>
      </c>
      <c r="H33" s="12">
        <v>0.0</v>
      </c>
      <c r="I33" s="12">
        <v>0.0</v>
      </c>
      <c r="J33" s="12">
        <v>0.0</v>
      </c>
      <c r="K33" s="12">
        <v>0.0</v>
      </c>
      <c r="L33" s="12">
        <f t="shared" si="13"/>
        <v>0</v>
      </c>
      <c r="M33" s="14" t="str">
        <f t="shared" si="14"/>
        <v>#DIV/0!</v>
      </c>
      <c r="N33" s="12">
        <v>0.0</v>
      </c>
      <c r="O33" s="12">
        <v>0.0</v>
      </c>
      <c r="P33" s="12">
        <v>0.0</v>
      </c>
      <c r="Q33" s="12">
        <v>0.0</v>
      </c>
      <c r="R33" s="15">
        <f>R32*6</f>
        <v>48690</v>
      </c>
      <c r="S33" s="15">
        <v>0.8</v>
      </c>
      <c r="T33" s="15">
        <v>10000.0</v>
      </c>
    </row>
    <row r="34" ht="37.5" customHeight="1">
      <c r="A34" s="12">
        <v>6.0</v>
      </c>
      <c r="B34" s="12" t="s">
        <v>21</v>
      </c>
      <c r="C34" s="13" t="s">
        <v>32</v>
      </c>
      <c r="D34" s="12">
        <f t="shared" ref="D34:D35" si="17">R34</f>
        <v>8115</v>
      </c>
      <c r="E34" s="12" t="s">
        <v>33</v>
      </c>
      <c r="F34" s="12">
        <f t="shared" ref="F34:F35" si="18">ROUND(S34/T34*R34,0)</f>
        <v>32</v>
      </c>
      <c r="G34" s="12">
        <v>8.0</v>
      </c>
      <c r="H34" s="12">
        <v>6.0</v>
      </c>
      <c r="I34" s="12">
        <v>2.0</v>
      </c>
      <c r="J34" s="12">
        <v>2.0</v>
      </c>
      <c r="K34" s="12">
        <v>0.0</v>
      </c>
      <c r="L34" s="12">
        <f t="shared" si="13"/>
        <v>0</v>
      </c>
      <c r="M34" s="14">
        <f t="shared" si="14"/>
        <v>100</v>
      </c>
      <c r="N34" s="12">
        <v>0.0</v>
      </c>
      <c r="O34" s="12">
        <v>0.0</v>
      </c>
      <c r="P34" s="12">
        <v>0.0</v>
      </c>
      <c r="Q34" s="12">
        <v>0.0</v>
      </c>
      <c r="R34" s="15">
        <f>R29</f>
        <v>8115</v>
      </c>
      <c r="S34" s="15">
        <v>4.0</v>
      </c>
      <c r="T34" s="15">
        <v>1000.0</v>
      </c>
    </row>
    <row r="35" ht="37.5" customHeight="1">
      <c r="A35" s="12">
        <v>7.0</v>
      </c>
      <c r="B35" s="12" t="s">
        <v>21</v>
      </c>
      <c r="C35" s="13" t="s">
        <v>34</v>
      </c>
      <c r="D35" s="12">
        <f t="shared" si="17"/>
        <v>8115</v>
      </c>
      <c r="E35" s="12" t="s">
        <v>33</v>
      </c>
      <c r="F35" s="12">
        <f t="shared" si="18"/>
        <v>32</v>
      </c>
      <c r="G35" s="12">
        <v>3.0</v>
      </c>
      <c r="H35" s="12">
        <v>1.0</v>
      </c>
      <c r="I35" s="12">
        <v>2.0</v>
      </c>
      <c r="J35" s="12">
        <v>2.0</v>
      </c>
      <c r="K35" s="12">
        <v>0.0</v>
      </c>
      <c r="L35" s="12">
        <f t="shared" si="13"/>
        <v>0</v>
      </c>
      <c r="M35" s="14">
        <f t="shared" si="14"/>
        <v>100</v>
      </c>
      <c r="N35" s="12">
        <v>0.0</v>
      </c>
      <c r="O35" s="12">
        <v>0.0</v>
      </c>
      <c r="P35" s="12">
        <v>0.0</v>
      </c>
      <c r="Q35" s="12">
        <v>0.0</v>
      </c>
      <c r="R35" s="15">
        <f>R29</f>
        <v>8115</v>
      </c>
      <c r="S35" s="15">
        <v>4.0</v>
      </c>
      <c r="T35" s="15">
        <v>1000.0</v>
      </c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</row>
    <row r="37" ht="24.75" customHeight="1">
      <c r="A37" s="1" t="s">
        <v>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3"/>
      <c r="S37" s="3"/>
      <c r="T37" s="3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</row>
    <row r="39" ht="32.25" customHeight="1">
      <c r="A39" s="5" t="s">
        <v>1</v>
      </c>
      <c r="B39" s="5" t="s">
        <v>2</v>
      </c>
      <c r="C39" s="5" t="s">
        <v>3</v>
      </c>
      <c r="D39" s="5" t="s">
        <v>4</v>
      </c>
      <c r="E39" s="5" t="s">
        <v>5</v>
      </c>
      <c r="F39" s="5" t="s">
        <v>6</v>
      </c>
      <c r="G39" s="5" t="s">
        <v>7</v>
      </c>
      <c r="H39" s="5" t="s">
        <v>8</v>
      </c>
      <c r="I39" s="5" t="s">
        <v>9</v>
      </c>
      <c r="J39" s="5" t="s">
        <v>10</v>
      </c>
      <c r="K39" s="5" t="s">
        <v>11</v>
      </c>
      <c r="L39" s="5" t="s">
        <v>12</v>
      </c>
      <c r="M39" s="5" t="s">
        <v>13</v>
      </c>
      <c r="N39" s="6" t="s">
        <v>14</v>
      </c>
      <c r="O39" s="7"/>
      <c r="P39" s="7"/>
      <c r="Q39" s="8"/>
      <c r="R39" s="4"/>
      <c r="S39" s="4"/>
      <c r="T39" s="4"/>
    </row>
    <row r="40" ht="39.0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10" t="s">
        <v>15</v>
      </c>
      <c r="O40" s="10" t="s">
        <v>16</v>
      </c>
      <c r="P40" s="10" t="s">
        <v>17</v>
      </c>
      <c r="Q40" s="10" t="s">
        <v>18</v>
      </c>
      <c r="R40" s="11" t="s">
        <v>19</v>
      </c>
      <c r="S40" s="11" t="s">
        <v>20</v>
      </c>
      <c r="T40" s="11"/>
    </row>
    <row r="41" ht="37.5" customHeight="1">
      <c r="A41" s="12">
        <v>1.0</v>
      </c>
      <c r="B41" s="12" t="s">
        <v>21</v>
      </c>
      <c r="C41" s="13" t="s">
        <v>22</v>
      </c>
      <c r="D41" s="12">
        <f>R41</f>
        <v>5941</v>
      </c>
      <c r="E41" s="12" t="s">
        <v>23</v>
      </c>
      <c r="F41" s="12">
        <f>ROUND(S41/T41*R41,0)</f>
        <v>53</v>
      </c>
      <c r="G41" s="12">
        <v>155.0</v>
      </c>
      <c r="H41" s="12">
        <v>122.0</v>
      </c>
      <c r="I41" s="12">
        <v>33.0</v>
      </c>
      <c r="J41" s="12">
        <v>33.0</v>
      </c>
      <c r="K41" s="12">
        <v>0.0</v>
      </c>
      <c r="L41" s="12">
        <f t="shared" ref="L41:L47" si="19">I41-J41</f>
        <v>0</v>
      </c>
      <c r="M41" s="14">
        <f t="shared" ref="M41:M42" si="20">J41/I41*100</f>
        <v>100</v>
      </c>
      <c r="N41" s="12">
        <v>0.0</v>
      </c>
      <c r="O41" s="12">
        <v>0.0</v>
      </c>
      <c r="P41" s="12">
        <v>0.0</v>
      </c>
      <c r="Q41" s="12">
        <v>0.0</v>
      </c>
      <c r="R41" s="15">
        <v>5941.0</v>
      </c>
      <c r="S41" s="15">
        <v>9.0</v>
      </c>
      <c r="T41" s="15">
        <v>1000.0</v>
      </c>
    </row>
    <row r="42" ht="37.5" customHeight="1">
      <c r="A42" s="12">
        <v>2.0</v>
      </c>
      <c r="B42" s="12" t="s">
        <v>21</v>
      </c>
      <c r="C42" s="13" t="s">
        <v>24</v>
      </c>
      <c r="D42" s="16">
        <v>11882.0</v>
      </c>
      <c r="E42" s="12" t="s">
        <v>25</v>
      </c>
      <c r="F42" s="16">
        <v>11.0</v>
      </c>
      <c r="G42" s="16">
        <v>43.0</v>
      </c>
      <c r="H42" s="16">
        <v>42.0</v>
      </c>
      <c r="I42" s="16">
        <v>1.0</v>
      </c>
      <c r="J42" s="16">
        <v>1.0</v>
      </c>
      <c r="K42" s="12">
        <v>0.0</v>
      </c>
      <c r="L42" s="12">
        <f t="shared" si="19"/>
        <v>0</v>
      </c>
      <c r="M42" s="14">
        <f t="shared" si="20"/>
        <v>100</v>
      </c>
      <c r="N42" s="12">
        <v>0.0</v>
      </c>
      <c r="O42" s="12">
        <v>0.0</v>
      </c>
      <c r="P42" s="12">
        <v>0.0</v>
      </c>
      <c r="Q42" s="12">
        <v>0.0</v>
      </c>
      <c r="R42" s="15">
        <f>R41*10</f>
        <v>59410</v>
      </c>
      <c r="S42" s="15">
        <v>1.0</v>
      </c>
      <c r="T42" s="15">
        <v>1000.0</v>
      </c>
    </row>
    <row r="43" ht="37.5" customHeight="1">
      <c r="A43" s="12">
        <v>3.0</v>
      </c>
      <c r="B43" s="12" t="s">
        <v>21</v>
      </c>
      <c r="C43" s="13" t="s">
        <v>26</v>
      </c>
      <c r="D43" s="12">
        <f t="shared" ref="D43:D44" si="21">R43</f>
        <v>5941</v>
      </c>
      <c r="E43" s="12" t="s">
        <v>27</v>
      </c>
      <c r="F43" s="12">
        <f t="shared" ref="F43:F44" si="22">ROUND(S43/T43*R43,0)</f>
        <v>12</v>
      </c>
      <c r="G43" s="12">
        <v>15.0</v>
      </c>
      <c r="H43" s="12">
        <v>12.0</v>
      </c>
      <c r="I43" s="12">
        <v>3.0</v>
      </c>
      <c r="J43" s="12">
        <v>3.0</v>
      </c>
      <c r="K43" s="12">
        <v>0.0</v>
      </c>
      <c r="L43" s="12">
        <f t="shared" si="19"/>
        <v>0</v>
      </c>
      <c r="M43" s="14">
        <v>0.0</v>
      </c>
      <c r="N43" s="12">
        <v>0.0</v>
      </c>
      <c r="O43" s="12">
        <v>0.0</v>
      </c>
      <c r="P43" s="12">
        <v>0.0</v>
      </c>
      <c r="Q43" s="12">
        <v>0.0</v>
      </c>
      <c r="R43" s="15">
        <f>R41</f>
        <v>5941</v>
      </c>
      <c r="S43" s="15">
        <v>2.0</v>
      </c>
      <c r="T43" s="15">
        <v>1000.0</v>
      </c>
    </row>
    <row r="44" ht="37.5" customHeight="1">
      <c r="A44" s="12">
        <v>4.0</v>
      </c>
      <c r="B44" s="12" t="s">
        <v>21</v>
      </c>
      <c r="C44" s="13" t="s">
        <v>28</v>
      </c>
      <c r="D44" s="12">
        <f t="shared" si="21"/>
        <v>5941</v>
      </c>
      <c r="E44" s="12" t="s">
        <v>29</v>
      </c>
      <c r="F44" s="12">
        <f t="shared" si="22"/>
        <v>6</v>
      </c>
      <c r="G44" s="12">
        <v>8.0</v>
      </c>
      <c r="H44" s="12">
        <v>0.0</v>
      </c>
      <c r="I44" s="12">
        <v>8.0</v>
      </c>
      <c r="J44" s="12">
        <v>8.0</v>
      </c>
      <c r="K44" s="12">
        <v>0.0</v>
      </c>
      <c r="L44" s="12">
        <f t="shared" si="19"/>
        <v>0</v>
      </c>
      <c r="M44" s="14">
        <f t="shared" ref="M44:M46" si="23">J44/I44*100</f>
        <v>100</v>
      </c>
      <c r="N44" s="12">
        <v>0.0</v>
      </c>
      <c r="O44" s="12">
        <v>0.0</v>
      </c>
      <c r="P44" s="12">
        <v>0.0</v>
      </c>
      <c r="Q44" s="12">
        <v>0.0</v>
      </c>
      <c r="R44" s="15">
        <f>R41</f>
        <v>5941</v>
      </c>
      <c r="S44" s="15">
        <v>0.93</v>
      </c>
      <c r="T44" s="15">
        <v>1000.0</v>
      </c>
    </row>
    <row r="45" ht="37.5" customHeight="1">
      <c r="A45" s="12">
        <v>5.0</v>
      </c>
      <c r="B45" s="12" t="s">
        <v>21</v>
      </c>
      <c r="C45" s="13" t="s">
        <v>30</v>
      </c>
      <c r="D45" s="16">
        <v>7129.0</v>
      </c>
      <c r="E45" s="12" t="s">
        <v>31</v>
      </c>
      <c r="F45" s="16">
        <v>1.0</v>
      </c>
      <c r="G45" s="12">
        <v>0.0</v>
      </c>
      <c r="H45" s="12">
        <v>0.0</v>
      </c>
      <c r="I45" s="12">
        <v>0.0</v>
      </c>
      <c r="J45" s="12">
        <v>0.0</v>
      </c>
      <c r="K45" s="12">
        <v>0.0</v>
      </c>
      <c r="L45" s="12">
        <f t="shared" si="19"/>
        <v>0</v>
      </c>
      <c r="M45" s="14" t="str">
        <f t="shared" si="23"/>
        <v>#DIV/0!</v>
      </c>
      <c r="N45" s="12">
        <v>0.0</v>
      </c>
      <c r="O45" s="12">
        <v>0.0</v>
      </c>
      <c r="P45" s="12">
        <v>0.0</v>
      </c>
      <c r="Q45" s="12">
        <v>0.0</v>
      </c>
      <c r="R45" s="15">
        <f>R44*6</f>
        <v>35646</v>
      </c>
      <c r="S45" s="15">
        <v>0.8</v>
      </c>
      <c r="T45" s="15">
        <v>10000.0</v>
      </c>
    </row>
    <row r="46" ht="37.5" customHeight="1">
      <c r="A46" s="12">
        <v>6.0</v>
      </c>
      <c r="B46" s="12" t="s">
        <v>21</v>
      </c>
      <c r="C46" s="13" t="s">
        <v>32</v>
      </c>
      <c r="D46" s="12">
        <f t="shared" ref="D46:D47" si="24">R46</f>
        <v>5941</v>
      </c>
      <c r="E46" s="12" t="s">
        <v>33</v>
      </c>
      <c r="F46" s="12">
        <f t="shared" ref="F46:F47" si="25">ROUND(S46/T46*R46,0)</f>
        <v>24</v>
      </c>
      <c r="G46" s="12">
        <v>6.0</v>
      </c>
      <c r="H46" s="12">
        <v>3.0</v>
      </c>
      <c r="I46" s="12">
        <v>3.0</v>
      </c>
      <c r="J46" s="12">
        <v>3.0</v>
      </c>
      <c r="K46" s="12">
        <v>0.0</v>
      </c>
      <c r="L46" s="12">
        <f t="shared" si="19"/>
        <v>0</v>
      </c>
      <c r="M46" s="14">
        <f t="shared" si="23"/>
        <v>100</v>
      </c>
      <c r="N46" s="12">
        <v>0.0</v>
      </c>
      <c r="O46" s="12">
        <v>0.0</v>
      </c>
      <c r="P46" s="12">
        <v>0.0</v>
      </c>
      <c r="Q46" s="12">
        <v>0.0</v>
      </c>
      <c r="R46" s="15">
        <f>R41</f>
        <v>5941</v>
      </c>
      <c r="S46" s="15">
        <v>4.0</v>
      </c>
      <c r="T46" s="15">
        <v>1000.0</v>
      </c>
    </row>
    <row r="47" ht="37.5" customHeight="1">
      <c r="A47" s="12">
        <v>7.0</v>
      </c>
      <c r="B47" s="12" t="s">
        <v>21</v>
      </c>
      <c r="C47" s="13" t="s">
        <v>34</v>
      </c>
      <c r="D47" s="12">
        <f t="shared" si="24"/>
        <v>5941</v>
      </c>
      <c r="E47" s="12" t="s">
        <v>33</v>
      </c>
      <c r="F47" s="12">
        <f t="shared" si="25"/>
        <v>24</v>
      </c>
      <c r="G47" s="12">
        <v>1.0</v>
      </c>
      <c r="H47" s="12">
        <v>0.0</v>
      </c>
      <c r="I47" s="12">
        <v>1.0</v>
      </c>
      <c r="J47" s="12">
        <v>1.0</v>
      </c>
      <c r="K47" s="12">
        <v>0.0</v>
      </c>
      <c r="L47" s="12">
        <f t="shared" si="19"/>
        <v>0</v>
      </c>
      <c r="M47" s="14">
        <v>0.0</v>
      </c>
      <c r="N47" s="12">
        <v>0.0</v>
      </c>
      <c r="O47" s="12">
        <v>0.0</v>
      </c>
      <c r="P47" s="12">
        <v>0.0</v>
      </c>
      <c r="Q47" s="12">
        <v>0.0</v>
      </c>
      <c r="R47" s="15">
        <f>R41</f>
        <v>5941</v>
      </c>
      <c r="S47" s="15">
        <v>4.0</v>
      </c>
      <c r="T47" s="15">
        <v>1000.0</v>
      </c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</row>
    <row r="49" ht="24.75" customHeight="1">
      <c r="A49" s="1" t="s">
        <v>38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3"/>
      <c r="S49" s="3"/>
      <c r="T49" s="3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</row>
    <row r="51" ht="32.25" customHeight="1">
      <c r="A51" s="5" t="s">
        <v>1</v>
      </c>
      <c r="B51" s="5" t="s">
        <v>2</v>
      </c>
      <c r="C51" s="5" t="s">
        <v>3</v>
      </c>
      <c r="D51" s="5" t="s">
        <v>4</v>
      </c>
      <c r="E51" s="5" t="s">
        <v>5</v>
      </c>
      <c r="F51" s="5" t="s">
        <v>6</v>
      </c>
      <c r="G51" s="5" t="s">
        <v>7</v>
      </c>
      <c r="H51" s="5" t="s">
        <v>8</v>
      </c>
      <c r="I51" s="5" t="s">
        <v>9</v>
      </c>
      <c r="J51" s="5" t="s">
        <v>10</v>
      </c>
      <c r="K51" s="5" t="s">
        <v>11</v>
      </c>
      <c r="L51" s="5" t="s">
        <v>12</v>
      </c>
      <c r="M51" s="5" t="s">
        <v>13</v>
      </c>
      <c r="N51" s="6" t="s">
        <v>14</v>
      </c>
      <c r="O51" s="7"/>
      <c r="P51" s="7"/>
      <c r="Q51" s="8"/>
      <c r="R51" s="4"/>
      <c r="S51" s="4"/>
      <c r="T51" s="4"/>
    </row>
    <row r="52" ht="39.0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10" t="s">
        <v>15</v>
      </c>
      <c r="O52" s="10" t="s">
        <v>16</v>
      </c>
      <c r="P52" s="10" t="s">
        <v>17</v>
      </c>
      <c r="Q52" s="10" t="s">
        <v>18</v>
      </c>
      <c r="R52" s="11"/>
      <c r="S52" s="11"/>
      <c r="T52" s="11"/>
    </row>
    <row r="53" ht="37.5" customHeight="1">
      <c r="A53" s="12">
        <v>1.0</v>
      </c>
      <c r="B53" s="12" t="s">
        <v>21</v>
      </c>
      <c r="C53" s="13" t="s">
        <v>22</v>
      </c>
      <c r="D53" s="12">
        <f>R53</f>
        <v>9011</v>
      </c>
      <c r="E53" s="12" t="s">
        <v>23</v>
      </c>
      <c r="F53" s="12">
        <f>ROUND(S53/T53*R53,0)</f>
        <v>81</v>
      </c>
      <c r="G53" s="12">
        <v>79.0</v>
      </c>
      <c r="H53" s="12">
        <v>54.0</v>
      </c>
      <c r="I53" s="12">
        <v>25.0</v>
      </c>
      <c r="J53" s="12">
        <v>25.0</v>
      </c>
      <c r="K53" s="12">
        <v>0.0</v>
      </c>
      <c r="L53" s="12">
        <f t="shared" ref="L53:L59" si="26">I53-J53</f>
        <v>0</v>
      </c>
      <c r="M53" s="14">
        <f t="shared" ref="M53:M54" si="27">J53/I53*100</f>
        <v>100</v>
      </c>
      <c r="N53" s="12">
        <v>0.0</v>
      </c>
      <c r="O53" s="12">
        <v>0.0</v>
      </c>
      <c r="P53" s="12">
        <v>0.0</v>
      </c>
      <c r="Q53" s="12">
        <v>0.0</v>
      </c>
      <c r="R53" s="15">
        <v>9011.0</v>
      </c>
      <c r="S53" s="15">
        <v>9.0</v>
      </c>
      <c r="T53" s="15">
        <v>1000.0</v>
      </c>
    </row>
    <row r="54" ht="37.5" customHeight="1">
      <c r="A54" s="12">
        <v>2.0</v>
      </c>
      <c r="B54" s="12" t="s">
        <v>21</v>
      </c>
      <c r="C54" s="13" t="s">
        <v>24</v>
      </c>
      <c r="D54" s="16">
        <v>18022.0</v>
      </c>
      <c r="E54" s="12" t="s">
        <v>25</v>
      </c>
      <c r="F54" s="16">
        <v>18.0</v>
      </c>
      <c r="G54" s="16">
        <v>17.0</v>
      </c>
      <c r="H54" s="16">
        <v>15.0</v>
      </c>
      <c r="I54" s="16">
        <v>2.0</v>
      </c>
      <c r="J54" s="16">
        <v>2.0</v>
      </c>
      <c r="K54" s="12">
        <v>0.0</v>
      </c>
      <c r="L54" s="12">
        <f t="shared" si="26"/>
        <v>0</v>
      </c>
      <c r="M54" s="14">
        <f t="shared" si="27"/>
        <v>100</v>
      </c>
      <c r="N54" s="12">
        <v>0.0</v>
      </c>
      <c r="O54" s="12">
        <v>0.0</v>
      </c>
      <c r="P54" s="12">
        <v>0.0</v>
      </c>
      <c r="Q54" s="12">
        <v>0.0</v>
      </c>
      <c r="R54" s="15">
        <f>R53*10</f>
        <v>90110</v>
      </c>
      <c r="S54" s="15">
        <v>1.0</v>
      </c>
      <c r="T54" s="15">
        <v>1000.0</v>
      </c>
    </row>
    <row r="55" ht="37.5" customHeight="1">
      <c r="A55" s="12">
        <v>3.0</v>
      </c>
      <c r="B55" s="12" t="s">
        <v>21</v>
      </c>
      <c r="C55" s="13" t="s">
        <v>26</v>
      </c>
      <c r="D55" s="12">
        <f t="shared" ref="D55:D56" si="28">R55</f>
        <v>9011</v>
      </c>
      <c r="E55" s="12" t="s">
        <v>27</v>
      </c>
      <c r="F55" s="12">
        <f t="shared" ref="F55:F56" si="29">ROUND(S55/T55*R55,0)</f>
        <v>18</v>
      </c>
      <c r="G55" s="12">
        <v>5.0</v>
      </c>
      <c r="H55" s="12">
        <v>5.0</v>
      </c>
      <c r="I55" s="12">
        <v>0.0</v>
      </c>
      <c r="J55" s="12">
        <v>0.0</v>
      </c>
      <c r="K55" s="12">
        <v>0.0</v>
      </c>
      <c r="L55" s="12">
        <f t="shared" si="26"/>
        <v>0</v>
      </c>
      <c r="M55" s="14">
        <v>0.0</v>
      </c>
      <c r="N55" s="12">
        <v>0.0</v>
      </c>
      <c r="O55" s="12">
        <v>0.0</v>
      </c>
      <c r="P55" s="12">
        <v>0.0</v>
      </c>
      <c r="Q55" s="12">
        <v>0.0</v>
      </c>
      <c r="R55" s="15">
        <f>R53</f>
        <v>9011</v>
      </c>
      <c r="S55" s="15">
        <v>2.0</v>
      </c>
      <c r="T55" s="15">
        <v>1000.0</v>
      </c>
    </row>
    <row r="56" ht="37.5" customHeight="1">
      <c r="A56" s="12">
        <v>4.0</v>
      </c>
      <c r="B56" s="12" t="s">
        <v>21</v>
      </c>
      <c r="C56" s="13" t="s">
        <v>28</v>
      </c>
      <c r="D56" s="12">
        <f t="shared" si="28"/>
        <v>9011</v>
      </c>
      <c r="E56" s="12" t="s">
        <v>29</v>
      </c>
      <c r="F56" s="12">
        <f t="shared" si="29"/>
        <v>8</v>
      </c>
      <c r="G56" s="12">
        <v>11.0</v>
      </c>
      <c r="H56" s="12">
        <v>1.0</v>
      </c>
      <c r="I56" s="12">
        <v>10.0</v>
      </c>
      <c r="J56" s="12">
        <v>10.0</v>
      </c>
      <c r="K56" s="12">
        <v>0.0</v>
      </c>
      <c r="L56" s="12">
        <f t="shared" si="26"/>
        <v>0</v>
      </c>
      <c r="M56" s="14">
        <f t="shared" ref="M56:M58" si="30">J56/I56*100</f>
        <v>100</v>
      </c>
      <c r="N56" s="12">
        <v>0.0</v>
      </c>
      <c r="O56" s="12">
        <v>0.0</v>
      </c>
      <c r="P56" s="12">
        <v>0.0</v>
      </c>
      <c r="Q56" s="12">
        <v>0.0</v>
      </c>
      <c r="R56" s="15">
        <f>R53</f>
        <v>9011</v>
      </c>
      <c r="S56" s="15">
        <v>0.93</v>
      </c>
      <c r="T56" s="15">
        <v>1000.0</v>
      </c>
    </row>
    <row r="57" ht="37.5" customHeight="1">
      <c r="A57" s="12">
        <v>5.0</v>
      </c>
      <c r="B57" s="12" t="s">
        <v>21</v>
      </c>
      <c r="C57" s="13" t="s">
        <v>30</v>
      </c>
      <c r="D57" s="16">
        <v>10813.0</v>
      </c>
      <c r="E57" s="12" t="s">
        <v>31</v>
      </c>
      <c r="F57" s="16">
        <v>1.0</v>
      </c>
      <c r="G57" s="12">
        <v>2.0</v>
      </c>
      <c r="H57" s="12">
        <v>0.0</v>
      </c>
      <c r="I57" s="12">
        <v>2.0</v>
      </c>
      <c r="J57" s="12">
        <v>2.0</v>
      </c>
      <c r="K57" s="12">
        <v>0.0</v>
      </c>
      <c r="L57" s="12">
        <f t="shared" si="26"/>
        <v>0</v>
      </c>
      <c r="M57" s="14">
        <f t="shared" si="30"/>
        <v>100</v>
      </c>
      <c r="N57" s="12">
        <v>0.0</v>
      </c>
      <c r="O57" s="12">
        <v>0.0</v>
      </c>
      <c r="P57" s="12">
        <v>0.0</v>
      </c>
      <c r="Q57" s="12">
        <v>0.0</v>
      </c>
      <c r="R57" s="15">
        <f>R56*6</f>
        <v>54066</v>
      </c>
      <c r="S57" s="15">
        <v>0.8</v>
      </c>
      <c r="T57" s="15">
        <v>10000.0</v>
      </c>
    </row>
    <row r="58" ht="37.5" customHeight="1">
      <c r="A58" s="12">
        <v>6.0</v>
      </c>
      <c r="B58" s="12" t="s">
        <v>21</v>
      </c>
      <c r="C58" s="13" t="s">
        <v>32</v>
      </c>
      <c r="D58" s="12">
        <f t="shared" ref="D58:D59" si="31">R58</f>
        <v>9011</v>
      </c>
      <c r="E58" s="12" t="s">
        <v>33</v>
      </c>
      <c r="F58" s="12">
        <f t="shared" ref="F58:F59" si="32">ROUND(S58/T58*R58,0)</f>
        <v>36</v>
      </c>
      <c r="G58" s="12">
        <v>0.0</v>
      </c>
      <c r="H58" s="12">
        <v>0.0</v>
      </c>
      <c r="I58" s="12">
        <v>0.0</v>
      </c>
      <c r="J58" s="12">
        <v>0.0</v>
      </c>
      <c r="K58" s="12">
        <v>0.0</v>
      </c>
      <c r="L58" s="12">
        <f t="shared" si="26"/>
        <v>0</v>
      </c>
      <c r="M58" s="14" t="str">
        <f t="shared" si="30"/>
        <v>#DIV/0!</v>
      </c>
      <c r="N58" s="12">
        <v>0.0</v>
      </c>
      <c r="O58" s="12">
        <v>0.0</v>
      </c>
      <c r="P58" s="12">
        <v>0.0</v>
      </c>
      <c r="Q58" s="12">
        <v>0.0</v>
      </c>
      <c r="R58" s="15">
        <f>R53</f>
        <v>9011</v>
      </c>
      <c r="S58" s="15">
        <v>4.0</v>
      </c>
      <c r="T58" s="15">
        <v>1000.0</v>
      </c>
    </row>
    <row r="59" ht="37.5" customHeight="1">
      <c r="A59" s="12">
        <v>7.0</v>
      </c>
      <c r="B59" s="12" t="s">
        <v>21</v>
      </c>
      <c r="C59" s="13" t="s">
        <v>34</v>
      </c>
      <c r="D59" s="12">
        <f t="shared" si="31"/>
        <v>9011</v>
      </c>
      <c r="E59" s="12" t="s">
        <v>33</v>
      </c>
      <c r="F59" s="12">
        <f t="shared" si="32"/>
        <v>36</v>
      </c>
      <c r="G59" s="12">
        <v>0.0</v>
      </c>
      <c r="H59" s="12">
        <v>0.0</v>
      </c>
      <c r="I59" s="12">
        <v>0.0</v>
      </c>
      <c r="J59" s="12">
        <v>0.0</v>
      </c>
      <c r="K59" s="12">
        <v>0.0</v>
      </c>
      <c r="L59" s="12">
        <f t="shared" si="26"/>
        <v>0</v>
      </c>
      <c r="M59" s="14">
        <v>0.0</v>
      </c>
      <c r="N59" s="12">
        <v>0.0</v>
      </c>
      <c r="O59" s="12">
        <v>0.0</v>
      </c>
      <c r="P59" s="12">
        <v>0.0</v>
      </c>
      <c r="Q59" s="12">
        <v>0.0</v>
      </c>
      <c r="R59" s="15">
        <f>R53</f>
        <v>9011</v>
      </c>
      <c r="S59" s="15">
        <v>4.0</v>
      </c>
      <c r="T59" s="15">
        <v>1000.0</v>
      </c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</row>
    <row r="61" ht="24.75" customHeight="1">
      <c r="A61" s="1" t="s">
        <v>39</v>
      </c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3"/>
      <c r="S61" s="3"/>
      <c r="T61" s="3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</row>
    <row r="63" ht="32.25" customHeight="1">
      <c r="A63" s="5" t="s">
        <v>1</v>
      </c>
      <c r="B63" s="5" t="s">
        <v>2</v>
      </c>
      <c r="C63" s="5" t="s">
        <v>3</v>
      </c>
      <c r="D63" s="5" t="s">
        <v>4</v>
      </c>
      <c r="E63" s="5" t="s">
        <v>5</v>
      </c>
      <c r="F63" s="5" t="s">
        <v>6</v>
      </c>
      <c r="G63" s="5" t="s">
        <v>7</v>
      </c>
      <c r="H63" s="5" t="s">
        <v>8</v>
      </c>
      <c r="I63" s="5" t="s">
        <v>9</v>
      </c>
      <c r="J63" s="5" t="s">
        <v>10</v>
      </c>
      <c r="K63" s="5" t="s">
        <v>11</v>
      </c>
      <c r="L63" s="5" t="s">
        <v>12</v>
      </c>
      <c r="M63" s="5" t="s">
        <v>13</v>
      </c>
      <c r="N63" s="6" t="s">
        <v>14</v>
      </c>
      <c r="O63" s="7"/>
      <c r="P63" s="7"/>
      <c r="Q63" s="8"/>
      <c r="R63" s="4"/>
      <c r="S63" s="4"/>
      <c r="T63" s="4"/>
    </row>
    <row r="64" ht="39.0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10" t="s">
        <v>15</v>
      </c>
      <c r="O64" s="10" t="s">
        <v>16</v>
      </c>
      <c r="P64" s="10" t="s">
        <v>17</v>
      </c>
      <c r="Q64" s="10" t="s">
        <v>18</v>
      </c>
      <c r="R64" s="11"/>
      <c r="S64" s="11"/>
      <c r="T64" s="11"/>
    </row>
    <row r="65" ht="37.5" customHeight="1">
      <c r="A65" s="12">
        <v>1.0</v>
      </c>
      <c r="B65" s="12" t="s">
        <v>21</v>
      </c>
      <c r="C65" s="13" t="s">
        <v>22</v>
      </c>
      <c r="D65" s="12">
        <f>R65</f>
        <v>12218</v>
      </c>
      <c r="E65" s="12" t="s">
        <v>23</v>
      </c>
      <c r="F65" s="12">
        <f>ROUND(S65/T65*R65,0)</f>
        <v>110</v>
      </c>
      <c r="G65" s="12">
        <v>106.0</v>
      </c>
      <c r="H65" s="12">
        <v>50.0</v>
      </c>
      <c r="I65" s="12">
        <v>56.0</v>
      </c>
      <c r="J65" s="12">
        <v>56.0</v>
      </c>
      <c r="K65" s="12">
        <v>0.0</v>
      </c>
      <c r="L65" s="12">
        <f t="shared" ref="L65:L71" si="33">I65-J65</f>
        <v>0</v>
      </c>
      <c r="M65" s="14">
        <f t="shared" ref="M65:M66" si="34">J65/I65*100</f>
        <v>100</v>
      </c>
      <c r="N65" s="12">
        <v>0.0</v>
      </c>
      <c r="O65" s="12">
        <v>0.0</v>
      </c>
      <c r="P65" s="12">
        <v>0.0</v>
      </c>
      <c r="Q65" s="12">
        <v>0.0</v>
      </c>
      <c r="R65" s="15">
        <v>12218.0</v>
      </c>
      <c r="S65" s="15">
        <v>9.0</v>
      </c>
      <c r="T65" s="15">
        <v>1000.0</v>
      </c>
    </row>
    <row r="66" ht="37.5" customHeight="1">
      <c r="A66" s="12">
        <v>2.0</v>
      </c>
      <c r="B66" s="12" t="s">
        <v>21</v>
      </c>
      <c r="C66" s="13" t="s">
        <v>24</v>
      </c>
      <c r="D66" s="16">
        <v>24436.0</v>
      </c>
      <c r="E66" s="12" t="s">
        <v>25</v>
      </c>
      <c r="F66" s="16">
        <v>24.0</v>
      </c>
      <c r="G66" s="16">
        <v>20.0</v>
      </c>
      <c r="H66" s="16">
        <v>19.0</v>
      </c>
      <c r="I66" s="12">
        <v>1.0</v>
      </c>
      <c r="J66" s="12">
        <v>1.0</v>
      </c>
      <c r="K66" s="12">
        <v>0.0</v>
      </c>
      <c r="L66" s="12">
        <f t="shared" si="33"/>
        <v>0</v>
      </c>
      <c r="M66" s="14">
        <f t="shared" si="34"/>
        <v>100</v>
      </c>
      <c r="N66" s="12">
        <v>0.0</v>
      </c>
      <c r="O66" s="12">
        <v>0.0</v>
      </c>
      <c r="P66" s="12">
        <v>0.0</v>
      </c>
      <c r="Q66" s="12">
        <v>0.0</v>
      </c>
      <c r="R66" s="15">
        <f>R65*10</f>
        <v>122180</v>
      </c>
      <c r="S66" s="15">
        <v>1.0</v>
      </c>
      <c r="T66" s="15">
        <v>1000.0</v>
      </c>
    </row>
    <row r="67" ht="37.5" customHeight="1">
      <c r="A67" s="12">
        <v>3.0</v>
      </c>
      <c r="B67" s="12" t="s">
        <v>21</v>
      </c>
      <c r="C67" s="13" t="s">
        <v>26</v>
      </c>
      <c r="D67" s="12">
        <f t="shared" ref="D67:D68" si="35">R67</f>
        <v>12218</v>
      </c>
      <c r="E67" s="12" t="s">
        <v>27</v>
      </c>
      <c r="F67" s="12">
        <f t="shared" ref="F67:F68" si="36">ROUND(S67/T67*R67,0)</f>
        <v>24</v>
      </c>
      <c r="G67" s="12">
        <v>29.0</v>
      </c>
      <c r="H67" s="12">
        <v>24.0</v>
      </c>
      <c r="I67" s="12">
        <v>5.0</v>
      </c>
      <c r="J67" s="12">
        <v>5.0</v>
      </c>
      <c r="K67" s="12">
        <v>0.0</v>
      </c>
      <c r="L67" s="12">
        <f t="shared" si="33"/>
        <v>0</v>
      </c>
      <c r="M67" s="14">
        <v>0.0</v>
      </c>
      <c r="N67" s="12">
        <v>0.0</v>
      </c>
      <c r="O67" s="12">
        <v>0.0</v>
      </c>
      <c r="P67" s="12">
        <v>0.0</v>
      </c>
      <c r="Q67" s="12">
        <v>0.0</v>
      </c>
      <c r="R67" s="15">
        <f>R65</f>
        <v>12218</v>
      </c>
      <c r="S67" s="15">
        <v>2.0</v>
      </c>
      <c r="T67" s="15">
        <v>1000.0</v>
      </c>
    </row>
    <row r="68" ht="37.5" customHeight="1">
      <c r="A68" s="12">
        <v>4.0</v>
      </c>
      <c r="B68" s="12" t="s">
        <v>21</v>
      </c>
      <c r="C68" s="13" t="s">
        <v>28</v>
      </c>
      <c r="D68" s="12">
        <f t="shared" si="35"/>
        <v>12218</v>
      </c>
      <c r="E68" s="12" t="s">
        <v>29</v>
      </c>
      <c r="F68" s="12">
        <f t="shared" si="36"/>
        <v>11</v>
      </c>
      <c r="G68" s="12">
        <v>16.0</v>
      </c>
      <c r="H68" s="12">
        <v>0.0</v>
      </c>
      <c r="I68" s="12">
        <v>16.0</v>
      </c>
      <c r="J68" s="12">
        <v>16.0</v>
      </c>
      <c r="K68" s="12">
        <v>0.0</v>
      </c>
      <c r="L68" s="12">
        <f t="shared" si="33"/>
        <v>0</v>
      </c>
      <c r="M68" s="14">
        <f t="shared" ref="M68:M70" si="37">J68/I68*100</f>
        <v>100</v>
      </c>
      <c r="N68" s="12">
        <v>0.0</v>
      </c>
      <c r="O68" s="12">
        <v>0.0</v>
      </c>
      <c r="P68" s="12">
        <v>0.0</v>
      </c>
      <c r="Q68" s="12">
        <v>0.0</v>
      </c>
      <c r="R68" s="15">
        <f>R65</f>
        <v>12218</v>
      </c>
      <c r="S68" s="15">
        <v>0.93</v>
      </c>
      <c r="T68" s="15">
        <v>1000.0</v>
      </c>
    </row>
    <row r="69" ht="37.5" customHeight="1">
      <c r="A69" s="12">
        <v>5.0</v>
      </c>
      <c r="B69" s="12" t="s">
        <v>21</v>
      </c>
      <c r="C69" s="13" t="s">
        <v>30</v>
      </c>
      <c r="D69" s="16">
        <v>14661.0</v>
      </c>
      <c r="E69" s="12" t="s">
        <v>31</v>
      </c>
      <c r="F69" s="16">
        <v>1.0</v>
      </c>
      <c r="G69" s="12">
        <v>3.0</v>
      </c>
      <c r="H69" s="12">
        <v>0.0</v>
      </c>
      <c r="I69" s="12">
        <v>3.0</v>
      </c>
      <c r="J69" s="12">
        <v>3.0</v>
      </c>
      <c r="K69" s="12">
        <v>0.0</v>
      </c>
      <c r="L69" s="12">
        <f t="shared" si="33"/>
        <v>0</v>
      </c>
      <c r="M69" s="14">
        <f t="shared" si="37"/>
        <v>100</v>
      </c>
      <c r="N69" s="12">
        <v>0.0</v>
      </c>
      <c r="O69" s="12">
        <v>0.0</v>
      </c>
      <c r="P69" s="12">
        <v>0.0</v>
      </c>
      <c r="Q69" s="12">
        <v>0.0</v>
      </c>
      <c r="R69" s="15">
        <f>R68*6</f>
        <v>73308</v>
      </c>
      <c r="S69" s="15">
        <v>0.8</v>
      </c>
      <c r="T69" s="15">
        <v>10000.0</v>
      </c>
    </row>
    <row r="70" ht="37.5" customHeight="1">
      <c r="A70" s="12">
        <v>6.0</v>
      </c>
      <c r="B70" s="12" t="s">
        <v>21</v>
      </c>
      <c r="C70" s="13" t="s">
        <v>32</v>
      </c>
      <c r="D70" s="12">
        <f t="shared" ref="D70:D71" si="38">R70</f>
        <v>12218</v>
      </c>
      <c r="E70" s="12" t="s">
        <v>33</v>
      </c>
      <c r="F70" s="12">
        <f t="shared" ref="F70:F71" si="39">ROUND(S70/T70*R70,0)</f>
        <v>49</v>
      </c>
      <c r="G70" s="12">
        <v>14.0</v>
      </c>
      <c r="H70" s="12">
        <v>10.0</v>
      </c>
      <c r="I70" s="12">
        <v>4.0</v>
      </c>
      <c r="J70" s="12">
        <v>4.0</v>
      </c>
      <c r="K70" s="12">
        <v>0.0</v>
      </c>
      <c r="L70" s="12">
        <f t="shared" si="33"/>
        <v>0</v>
      </c>
      <c r="M70" s="14">
        <f t="shared" si="37"/>
        <v>100</v>
      </c>
      <c r="N70" s="12">
        <v>0.0</v>
      </c>
      <c r="O70" s="12">
        <v>0.0</v>
      </c>
      <c r="P70" s="12">
        <v>0.0</v>
      </c>
      <c r="Q70" s="12">
        <v>0.0</v>
      </c>
      <c r="R70" s="15">
        <f>R65</f>
        <v>12218</v>
      </c>
      <c r="S70" s="15">
        <v>4.0</v>
      </c>
      <c r="T70" s="15">
        <v>1000.0</v>
      </c>
    </row>
    <row r="71" ht="37.5" customHeight="1">
      <c r="A71" s="12">
        <v>7.0</v>
      </c>
      <c r="B71" s="12" t="s">
        <v>21</v>
      </c>
      <c r="C71" s="13" t="s">
        <v>34</v>
      </c>
      <c r="D71" s="12">
        <f t="shared" si="38"/>
        <v>12218</v>
      </c>
      <c r="E71" s="12" t="s">
        <v>33</v>
      </c>
      <c r="F71" s="12">
        <f t="shared" si="39"/>
        <v>49</v>
      </c>
      <c r="G71" s="12">
        <v>1.0</v>
      </c>
      <c r="H71" s="12">
        <v>0.0</v>
      </c>
      <c r="I71" s="12">
        <v>1.0</v>
      </c>
      <c r="J71" s="12">
        <v>1.0</v>
      </c>
      <c r="K71" s="12">
        <v>0.0</v>
      </c>
      <c r="L71" s="12">
        <f t="shared" si="33"/>
        <v>0</v>
      </c>
      <c r="M71" s="14">
        <v>0.0</v>
      </c>
      <c r="N71" s="12">
        <v>0.0</v>
      </c>
      <c r="O71" s="12">
        <v>0.0</v>
      </c>
      <c r="P71" s="12">
        <v>0.0</v>
      </c>
      <c r="Q71" s="12">
        <v>0.0</v>
      </c>
      <c r="R71" s="15">
        <f>R65</f>
        <v>12218</v>
      </c>
      <c r="S71" s="15">
        <v>4.0</v>
      </c>
      <c r="T71" s="15">
        <v>1000.0</v>
      </c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</row>
    <row r="73" ht="24.75" customHeight="1">
      <c r="A73" s="1" t="s">
        <v>40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3"/>
      <c r="S73" s="3"/>
      <c r="T73" s="3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</row>
    <row r="75" ht="32.25" customHeight="1">
      <c r="A75" s="5" t="s">
        <v>1</v>
      </c>
      <c r="B75" s="5" t="s">
        <v>2</v>
      </c>
      <c r="C75" s="5" t="s">
        <v>3</v>
      </c>
      <c r="D75" s="5" t="s">
        <v>4</v>
      </c>
      <c r="E75" s="5" t="s">
        <v>5</v>
      </c>
      <c r="F75" s="5" t="s">
        <v>6</v>
      </c>
      <c r="G75" s="5" t="s">
        <v>7</v>
      </c>
      <c r="H75" s="5" t="s">
        <v>8</v>
      </c>
      <c r="I75" s="5" t="s">
        <v>9</v>
      </c>
      <c r="J75" s="5" t="s">
        <v>10</v>
      </c>
      <c r="K75" s="5" t="s">
        <v>11</v>
      </c>
      <c r="L75" s="5" t="s">
        <v>12</v>
      </c>
      <c r="M75" s="5" t="s">
        <v>13</v>
      </c>
      <c r="N75" s="6" t="s">
        <v>14</v>
      </c>
      <c r="O75" s="7"/>
      <c r="P75" s="7"/>
      <c r="Q75" s="8"/>
      <c r="R75" s="4"/>
      <c r="S75" s="4"/>
      <c r="T75" s="4"/>
    </row>
    <row r="76" ht="39.0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 t="s">
        <v>15</v>
      </c>
      <c r="O76" s="10" t="s">
        <v>16</v>
      </c>
      <c r="P76" s="10" t="s">
        <v>17</v>
      </c>
      <c r="Q76" s="10" t="s">
        <v>18</v>
      </c>
      <c r="R76" s="11"/>
      <c r="S76" s="11"/>
      <c r="T76" s="11"/>
    </row>
    <row r="77" ht="37.5" customHeight="1">
      <c r="A77" s="12">
        <v>1.0</v>
      </c>
      <c r="B77" s="12" t="s">
        <v>21</v>
      </c>
      <c r="C77" s="13" t="s">
        <v>22</v>
      </c>
      <c r="D77" s="12">
        <f>R77</f>
        <v>4677</v>
      </c>
      <c r="E77" s="12" t="s">
        <v>23</v>
      </c>
      <c r="F77" s="12">
        <f>ROUND(S77/T77*R77,0)</f>
        <v>42</v>
      </c>
      <c r="G77" s="12">
        <v>44.0</v>
      </c>
      <c r="H77" s="12">
        <v>20.0</v>
      </c>
      <c r="I77" s="12">
        <v>24.0</v>
      </c>
      <c r="J77" s="12">
        <v>23.0</v>
      </c>
      <c r="K77" s="12">
        <v>0.0</v>
      </c>
      <c r="L77" s="12">
        <f t="shared" ref="L77:L83" si="40">I77-J77</f>
        <v>1</v>
      </c>
      <c r="M77" s="14">
        <f t="shared" ref="M77:M78" si="41">J77/I77*100</f>
        <v>95.83333333</v>
      </c>
      <c r="N77" s="12">
        <v>0.0</v>
      </c>
      <c r="O77" s="12">
        <v>0.0</v>
      </c>
      <c r="P77" s="12">
        <v>0.0</v>
      </c>
      <c r="Q77" s="12">
        <v>1.0</v>
      </c>
      <c r="R77" s="15">
        <v>4677.0</v>
      </c>
      <c r="S77" s="15">
        <v>9.0</v>
      </c>
      <c r="T77" s="15">
        <v>1000.0</v>
      </c>
    </row>
    <row r="78" ht="37.5" customHeight="1">
      <c r="A78" s="12">
        <v>2.0</v>
      </c>
      <c r="B78" s="12" t="s">
        <v>21</v>
      </c>
      <c r="C78" s="13" t="s">
        <v>24</v>
      </c>
      <c r="D78" s="16">
        <v>9354.0</v>
      </c>
      <c r="E78" s="12" t="s">
        <v>25</v>
      </c>
      <c r="F78" s="16">
        <v>9.0</v>
      </c>
      <c r="G78" s="16">
        <v>9.0</v>
      </c>
      <c r="H78" s="16">
        <v>9.0</v>
      </c>
      <c r="I78" s="12">
        <v>0.0</v>
      </c>
      <c r="J78" s="12">
        <v>0.0</v>
      </c>
      <c r="K78" s="12">
        <v>0.0</v>
      </c>
      <c r="L78" s="12">
        <f t="shared" si="40"/>
        <v>0</v>
      </c>
      <c r="M78" s="14" t="str">
        <f t="shared" si="41"/>
        <v>#DIV/0!</v>
      </c>
      <c r="N78" s="12">
        <v>0.0</v>
      </c>
      <c r="O78" s="12">
        <v>0.0</v>
      </c>
      <c r="P78" s="12">
        <v>0.0</v>
      </c>
      <c r="Q78" s="12">
        <v>0.0</v>
      </c>
      <c r="R78" s="15">
        <f>R77*10</f>
        <v>46770</v>
      </c>
      <c r="S78" s="15">
        <v>1.0</v>
      </c>
      <c r="T78" s="15">
        <v>1000.0</v>
      </c>
    </row>
    <row r="79" ht="37.5" customHeight="1">
      <c r="A79" s="12">
        <v>3.0</v>
      </c>
      <c r="B79" s="12" t="s">
        <v>21</v>
      </c>
      <c r="C79" s="13" t="s">
        <v>26</v>
      </c>
      <c r="D79" s="12">
        <f t="shared" ref="D79:D80" si="42">R79</f>
        <v>4677</v>
      </c>
      <c r="E79" s="12" t="s">
        <v>27</v>
      </c>
      <c r="F79" s="12">
        <f t="shared" ref="F79:F80" si="43">ROUND(S79/T79*R79,0)</f>
        <v>9</v>
      </c>
      <c r="G79" s="12">
        <v>6.0</v>
      </c>
      <c r="H79" s="12">
        <v>4.0</v>
      </c>
      <c r="I79" s="12">
        <v>2.0</v>
      </c>
      <c r="J79" s="12">
        <v>2.0</v>
      </c>
      <c r="K79" s="12">
        <v>0.0</v>
      </c>
      <c r="L79" s="12">
        <f t="shared" si="40"/>
        <v>0</v>
      </c>
      <c r="M79" s="14">
        <v>0.0</v>
      </c>
      <c r="N79" s="12">
        <v>0.0</v>
      </c>
      <c r="O79" s="12">
        <v>0.0</v>
      </c>
      <c r="P79" s="12">
        <v>0.0</v>
      </c>
      <c r="Q79" s="12">
        <v>0.0</v>
      </c>
      <c r="R79" s="15">
        <f>R77</f>
        <v>4677</v>
      </c>
      <c r="S79" s="15">
        <v>2.0</v>
      </c>
      <c r="T79" s="15">
        <v>1000.0</v>
      </c>
    </row>
    <row r="80" ht="37.5" customHeight="1">
      <c r="A80" s="12">
        <v>4.0</v>
      </c>
      <c r="B80" s="12" t="s">
        <v>21</v>
      </c>
      <c r="C80" s="13" t="s">
        <v>28</v>
      </c>
      <c r="D80" s="12">
        <f t="shared" si="42"/>
        <v>4677</v>
      </c>
      <c r="E80" s="12" t="s">
        <v>29</v>
      </c>
      <c r="F80" s="12">
        <f t="shared" si="43"/>
        <v>4</v>
      </c>
      <c r="G80" s="12">
        <v>10.0</v>
      </c>
      <c r="H80" s="12">
        <v>0.0</v>
      </c>
      <c r="I80" s="12">
        <v>10.0</v>
      </c>
      <c r="J80" s="12">
        <v>10.0</v>
      </c>
      <c r="K80" s="12">
        <v>0.0</v>
      </c>
      <c r="L80" s="12">
        <f t="shared" si="40"/>
        <v>0</v>
      </c>
      <c r="M80" s="14">
        <f t="shared" ref="M80:M82" si="44">J80/I80*100</f>
        <v>100</v>
      </c>
      <c r="N80" s="12">
        <v>0.0</v>
      </c>
      <c r="O80" s="12">
        <v>0.0</v>
      </c>
      <c r="P80" s="12">
        <v>0.0</v>
      </c>
      <c r="Q80" s="12">
        <v>0.0</v>
      </c>
      <c r="R80" s="15">
        <f>R77</f>
        <v>4677</v>
      </c>
      <c r="S80" s="15">
        <v>0.93</v>
      </c>
      <c r="T80" s="15">
        <v>1000.0</v>
      </c>
    </row>
    <row r="81" ht="37.5" customHeight="1">
      <c r="A81" s="12">
        <v>5.0</v>
      </c>
      <c r="B81" s="12" t="s">
        <v>21</v>
      </c>
      <c r="C81" s="13" t="s">
        <v>30</v>
      </c>
      <c r="D81" s="16">
        <v>5612.0</v>
      </c>
      <c r="E81" s="12" t="s">
        <v>31</v>
      </c>
      <c r="F81" s="16">
        <v>1.0</v>
      </c>
      <c r="G81" s="12">
        <v>2.0</v>
      </c>
      <c r="H81" s="12">
        <v>0.0</v>
      </c>
      <c r="I81" s="12">
        <v>2.0</v>
      </c>
      <c r="J81" s="12">
        <v>2.0</v>
      </c>
      <c r="K81" s="12">
        <v>0.0</v>
      </c>
      <c r="L81" s="12">
        <f t="shared" si="40"/>
        <v>0</v>
      </c>
      <c r="M81" s="14">
        <f t="shared" si="44"/>
        <v>100</v>
      </c>
      <c r="N81" s="12">
        <v>0.0</v>
      </c>
      <c r="O81" s="12">
        <v>0.0</v>
      </c>
      <c r="P81" s="12">
        <v>0.0</v>
      </c>
      <c r="Q81" s="12">
        <v>0.0</v>
      </c>
      <c r="R81" s="15">
        <f>R80*6</f>
        <v>28062</v>
      </c>
      <c r="S81" s="15">
        <v>0.8</v>
      </c>
      <c r="T81" s="15">
        <v>10000.0</v>
      </c>
    </row>
    <row r="82" ht="37.5" customHeight="1">
      <c r="A82" s="12">
        <v>6.0</v>
      </c>
      <c r="B82" s="12" t="s">
        <v>21</v>
      </c>
      <c r="C82" s="13" t="s">
        <v>32</v>
      </c>
      <c r="D82" s="12">
        <f t="shared" ref="D82:D83" si="45">R82</f>
        <v>4677</v>
      </c>
      <c r="E82" s="12" t="s">
        <v>33</v>
      </c>
      <c r="F82" s="12">
        <f t="shared" ref="F82:F83" si="46">ROUND(S82/T82*R82,0)</f>
        <v>19</v>
      </c>
      <c r="G82" s="12">
        <v>4.0</v>
      </c>
      <c r="H82" s="12">
        <v>3.0</v>
      </c>
      <c r="I82" s="12">
        <v>1.0</v>
      </c>
      <c r="J82" s="12">
        <v>1.0</v>
      </c>
      <c r="K82" s="12">
        <v>0.0</v>
      </c>
      <c r="L82" s="12">
        <f t="shared" si="40"/>
        <v>0</v>
      </c>
      <c r="M82" s="14">
        <f t="shared" si="44"/>
        <v>100</v>
      </c>
      <c r="N82" s="12">
        <v>0.0</v>
      </c>
      <c r="O82" s="12">
        <v>0.0</v>
      </c>
      <c r="P82" s="12">
        <v>0.0</v>
      </c>
      <c r="Q82" s="12">
        <v>0.0</v>
      </c>
      <c r="R82" s="15">
        <f>R77</f>
        <v>4677</v>
      </c>
      <c r="S82" s="15">
        <v>4.0</v>
      </c>
      <c r="T82" s="15">
        <v>1000.0</v>
      </c>
    </row>
    <row r="83" ht="37.5" customHeight="1">
      <c r="A83" s="12">
        <v>7.0</v>
      </c>
      <c r="B83" s="12" t="s">
        <v>21</v>
      </c>
      <c r="C83" s="13" t="s">
        <v>34</v>
      </c>
      <c r="D83" s="12">
        <f t="shared" si="45"/>
        <v>4677</v>
      </c>
      <c r="E83" s="12" t="s">
        <v>33</v>
      </c>
      <c r="F83" s="12">
        <f t="shared" si="46"/>
        <v>19</v>
      </c>
      <c r="G83" s="12">
        <v>0.0</v>
      </c>
      <c r="H83" s="12">
        <v>0.0</v>
      </c>
      <c r="I83" s="12">
        <v>0.0</v>
      </c>
      <c r="J83" s="12">
        <v>0.0</v>
      </c>
      <c r="K83" s="12">
        <v>0.0</v>
      </c>
      <c r="L83" s="12">
        <f t="shared" si="40"/>
        <v>0</v>
      </c>
      <c r="M83" s="14">
        <v>0.0</v>
      </c>
      <c r="N83" s="12">
        <v>0.0</v>
      </c>
      <c r="O83" s="12">
        <v>0.0</v>
      </c>
      <c r="P83" s="12">
        <v>0.0</v>
      </c>
      <c r="Q83" s="12">
        <v>0.0</v>
      </c>
      <c r="R83" s="15">
        <f>R77</f>
        <v>4677</v>
      </c>
      <c r="S83" s="15">
        <v>4.0</v>
      </c>
      <c r="T83" s="15">
        <v>1000.0</v>
      </c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</row>
    <row r="85" ht="24.75" customHeight="1">
      <c r="A85" s="1" t="s">
        <v>41</v>
      </c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3"/>
      <c r="S85" s="3"/>
      <c r="T85" s="3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</row>
    <row r="87" ht="32.25" customHeight="1">
      <c r="A87" s="5" t="s">
        <v>1</v>
      </c>
      <c r="B87" s="5" t="s">
        <v>2</v>
      </c>
      <c r="C87" s="5" t="s">
        <v>3</v>
      </c>
      <c r="D87" s="5" t="s">
        <v>4</v>
      </c>
      <c r="E87" s="5" t="s">
        <v>5</v>
      </c>
      <c r="F87" s="5" t="s">
        <v>6</v>
      </c>
      <c r="G87" s="5" t="s">
        <v>7</v>
      </c>
      <c r="H87" s="5" t="s">
        <v>8</v>
      </c>
      <c r="I87" s="5" t="s">
        <v>9</v>
      </c>
      <c r="J87" s="5" t="s">
        <v>10</v>
      </c>
      <c r="K87" s="5" t="s">
        <v>11</v>
      </c>
      <c r="L87" s="5" t="s">
        <v>12</v>
      </c>
      <c r="M87" s="5" t="s">
        <v>13</v>
      </c>
      <c r="N87" s="6" t="s">
        <v>14</v>
      </c>
      <c r="O87" s="7"/>
      <c r="P87" s="7"/>
      <c r="Q87" s="8"/>
      <c r="R87" s="4"/>
      <c r="S87" s="4"/>
      <c r="T87" s="4"/>
    </row>
    <row r="88" ht="39.0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10" t="s">
        <v>15</v>
      </c>
      <c r="O88" s="10" t="s">
        <v>16</v>
      </c>
      <c r="P88" s="10" t="s">
        <v>17</v>
      </c>
      <c r="Q88" s="10" t="s">
        <v>18</v>
      </c>
      <c r="R88" s="11"/>
      <c r="S88" s="11"/>
      <c r="T88" s="11"/>
    </row>
    <row r="89" ht="37.5" customHeight="1">
      <c r="A89" s="12">
        <v>1.0</v>
      </c>
      <c r="B89" s="12" t="s">
        <v>21</v>
      </c>
      <c r="C89" s="13" t="s">
        <v>22</v>
      </c>
      <c r="D89" s="12">
        <f>R89</f>
        <v>27079</v>
      </c>
      <c r="E89" s="12" t="s">
        <v>23</v>
      </c>
      <c r="F89" s="12">
        <f>ROUND(S89/T89*R89,0)</f>
        <v>244</v>
      </c>
      <c r="G89" s="12">
        <v>46.0</v>
      </c>
      <c r="H89" s="12">
        <v>18.0</v>
      </c>
      <c r="I89" s="12">
        <v>28.0</v>
      </c>
      <c r="J89" s="12">
        <v>27.0</v>
      </c>
      <c r="K89" s="12">
        <v>0.0</v>
      </c>
      <c r="L89" s="12">
        <f t="shared" ref="L89:L95" si="47">I89-J89</f>
        <v>1</v>
      </c>
      <c r="M89" s="14">
        <f t="shared" ref="M89:M90" si="48">J89/I89*100</f>
        <v>96.42857143</v>
      </c>
      <c r="N89" s="12">
        <v>0.0</v>
      </c>
      <c r="O89" s="12">
        <v>0.0</v>
      </c>
      <c r="P89" s="12">
        <v>0.0</v>
      </c>
      <c r="Q89" s="12">
        <v>1.0</v>
      </c>
      <c r="R89" s="15">
        <v>27079.0</v>
      </c>
      <c r="S89" s="15">
        <v>9.0</v>
      </c>
      <c r="T89" s="15">
        <v>1000.0</v>
      </c>
    </row>
    <row r="90" ht="37.5" customHeight="1">
      <c r="A90" s="12">
        <v>2.0</v>
      </c>
      <c r="B90" s="12" t="s">
        <v>21</v>
      </c>
      <c r="C90" s="13" t="s">
        <v>24</v>
      </c>
      <c r="D90" s="16">
        <v>54158.0</v>
      </c>
      <c r="E90" s="12" t="s">
        <v>25</v>
      </c>
      <c r="F90" s="16">
        <v>54.0</v>
      </c>
      <c r="G90" s="12">
        <v>1.0</v>
      </c>
      <c r="H90" s="12">
        <v>1.0</v>
      </c>
      <c r="I90" s="12">
        <v>0.0</v>
      </c>
      <c r="J90" s="12">
        <v>0.0</v>
      </c>
      <c r="K90" s="12">
        <v>0.0</v>
      </c>
      <c r="L90" s="12">
        <f t="shared" si="47"/>
        <v>0</v>
      </c>
      <c r="M90" s="14" t="str">
        <f t="shared" si="48"/>
        <v>#DIV/0!</v>
      </c>
      <c r="N90" s="12">
        <v>0.0</v>
      </c>
      <c r="O90" s="12">
        <v>0.0</v>
      </c>
      <c r="P90" s="12">
        <v>0.0</v>
      </c>
      <c r="Q90" s="12">
        <v>0.0</v>
      </c>
      <c r="R90" s="15">
        <f>R89*10</f>
        <v>270790</v>
      </c>
      <c r="S90" s="15">
        <v>1.0</v>
      </c>
      <c r="T90" s="15">
        <v>1000.0</v>
      </c>
    </row>
    <row r="91" ht="37.5" customHeight="1">
      <c r="A91" s="12">
        <v>3.0</v>
      </c>
      <c r="B91" s="12" t="s">
        <v>21</v>
      </c>
      <c r="C91" s="13" t="s">
        <v>26</v>
      </c>
      <c r="D91" s="12">
        <f t="shared" ref="D91:D92" si="49">R91</f>
        <v>27079</v>
      </c>
      <c r="E91" s="12" t="s">
        <v>27</v>
      </c>
      <c r="F91" s="12">
        <f t="shared" ref="F91:F92" si="50">ROUND(S91/T91*R91,0)</f>
        <v>54</v>
      </c>
      <c r="G91" s="12">
        <v>5.0</v>
      </c>
      <c r="H91" s="12">
        <v>3.0</v>
      </c>
      <c r="I91" s="12">
        <v>2.0</v>
      </c>
      <c r="J91" s="12">
        <v>2.0</v>
      </c>
      <c r="K91" s="12">
        <v>0.0</v>
      </c>
      <c r="L91" s="12">
        <f t="shared" si="47"/>
        <v>0</v>
      </c>
      <c r="M91" s="14">
        <v>0.0</v>
      </c>
      <c r="N91" s="12">
        <v>0.0</v>
      </c>
      <c r="O91" s="12">
        <v>0.0</v>
      </c>
      <c r="P91" s="12">
        <v>0.0</v>
      </c>
      <c r="Q91" s="12">
        <v>0.0</v>
      </c>
      <c r="R91" s="15">
        <f>R89</f>
        <v>27079</v>
      </c>
      <c r="S91" s="15">
        <v>2.0</v>
      </c>
      <c r="T91" s="15">
        <v>1000.0</v>
      </c>
    </row>
    <row r="92" ht="37.5" customHeight="1">
      <c r="A92" s="12">
        <v>4.0</v>
      </c>
      <c r="B92" s="12" t="s">
        <v>21</v>
      </c>
      <c r="C92" s="13" t="s">
        <v>28</v>
      </c>
      <c r="D92" s="12">
        <f t="shared" si="49"/>
        <v>27079</v>
      </c>
      <c r="E92" s="12" t="s">
        <v>29</v>
      </c>
      <c r="F92" s="12">
        <f t="shared" si="50"/>
        <v>25</v>
      </c>
      <c r="G92" s="12">
        <v>11.0</v>
      </c>
      <c r="H92" s="12">
        <v>0.0</v>
      </c>
      <c r="I92" s="12">
        <v>11.0</v>
      </c>
      <c r="J92" s="12">
        <v>10.0</v>
      </c>
      <c r="K92" s="12">
        <v>0.0</v>
      </c>
      <c r="L92" s="12">
        <f t="shared" si="47"/>
        <v>1</v>
      </c>
      <c r="M92" s="14">
        <f t="shared" ref="M92:M94" si="51">J92/I92*100</f>
        <v>90.90909091</v>
      </c>
      <c r="N92" s="12">
        <v>0.0</v>
      </c>
      <c r="O92" s="12">
        <v>0.0</v>
      </c>
      <c r="P92" s="12">
        <v>0.0</v>
      </c>
      <c r="Q92" s="12">
        <v>1.0</v>
      </c>
      <c r="R92" s="15">
        <f>R89</f>
        <v>27079</v>
      </c>
      <c r="S92" s="15">
        <v>0.93</v>
      </c>
      <c r="T92" s="15">
        <v>1000.0</v>
      </c>
    </row>
    <row r="93" ht="37.5" customHeight="1">
      <c r="A93" s="12">
        <v>5.0</v>
      </c>
      <c r="B93" s="12" t="s">
        <v>21</v>
      </c>
      <c r="C93" s="13" t="s">
        <v>30</v>
      </c>
      <c r="D93" s="16">
        <v>32494.0</v>
      </c>
      <c r="E93" s="12" t="s">
        <v>31</v>
      </c>
      <c r="F93" s="16">
        <v>3.0</v>
      </c>
      <c r="G93" s="12">
        <v>1.0</v>
      </c>
      <c r="H93" s="12">
        <v>1.0</v>
      </c>
      <c r="I93" s="12">
        <v>0.0</v>
      </c>
      <c r="J93" s="12">
        <v>0.0</v>
      </c>
      <c r="K93" s="12">
        <v>0.0</v>
      </c>
      <c r="L93" s="12">
        <f t="shared" si="47"/>
        <v>0</v>
      </c>
      <c r="M93" s="14" t="str">
        <f t="shared" si="51"/>
        <v>#DIV/0!</v>
      </c>
      <c r="N93" s="12">
        <v>0.0</v>
      </c>
      <c r="O93" s="12">
        <v>0.0</v>
      </c>
      <c r="P93" s="12">
        <v>0.0</v>
      </c>
      <c r="Q93" s="12">
        <v>0.0</v>
      </c>
      <c r="R93" s="15">
        <f>R92*6</f>
        <v>162474</v>
      </c>
      <c r="S93" s="15">
        <v>0.8</v>
      </c>
      <c r="T93" s="15">
        <v>10000.0</v>
      </c>
    </row>
    <row r="94" ht="37.5" customHeight="1">
      <c r="A94" s="12">
        <v>6.0</v>
      </c>
      <c r="B94" s="12" t="s">
        <v>21</v>
      </c>
      <c r="C94" s="13" t="s">
        <v>32</v>
      </c>
      <c r="D94" s="12">
        <f t="shared" ref="D94:D95" si="52">R94</f>
        <v>27079</v>
      </c>
      <c r="E94" s="12" t="s">
        <v>33</v>
      </c>
      <c r="F94" s="12">
        <f t="shared" ref="F94:F95" si="53">ROUND(S94/T94*R94,0)</f>
        <v>108</v>
      </c>
      <c r="G94" s="12">
        <v>1.0</v>
      </c>
      <c r="H94" s="12">
        <v>1.0</v>
      </c>
      <c r="I94" s="12">
        <v>0.0</v>
      </c>
      <c r="J94" s="12">
        <v>0.0</v>
      </c>
      <c r="K94" s="12">
        <v>0.0</v>
      </c>
      <c r="L94" s="12">
        <f t="shared" si="47"/>
        <v>0</v>
      </c>
      <c r="M94" s="14" t="str">
        <f t="shared" si="51"/>
        <v>#DIV/0!</v>
      </c>
      <c r="N94" s="12">
        <v>0.0</v>
      </c>
      <c r="O94" s="12">
        <v>0.0</v>
      </c>
      <c r="P94" s="12">
        <v>0.0</v>
      </c>
      <c r="Q94" s="12">
        <v>0.0</v>
      </c>
      <c r="R94" s="15">
        <f>R89</f>
        <v>27079</v>
      </c>
      <c r="S94" s="15">
        <v>4.0</v>
      </c>
      <c r="T94" s="15">
        <v>1000.0</v>
      </c>
    </row>
    <row r="95" ht="37.5" customHeight="1">
      <c r="A95" s="12">
        <v>7.0</v>
      </c>
      <c r="B95" s="12" t="s">
        <v>21</v>
      </c>
      <c r="C95" s="13" t="s">
        <v>34</v>
      </c>
      <c r="D95" s="12">
        <f t="shared" si="52"/>
        <v>27079</v>
      </c>
      <c r="E95" s="12" t="s">
        <v>33</v>
      </c>
      <c r="F95" s="12">
        <f t="shared" si="53"/>
        <v>108</v>
      </c>
      <c r="G95" s="12">
        <v>1.0</v>
      </c>
      <c r="H95" s="12">
        <v>0.0</v>
      </c>
      <c r="I95" s="12">
        <v>1.0</v>
      </c>
      <c r="J95" s="12">
        <v>1.0</v>
      </c>
      <c r="K95" s="12">
        <v>0.0</v>
      </c>
      <c r="L95" s="12">
        <f t="shared" si="47"/>
        <v>0</v>
      </c>
      <c r="M95" s="14">
        <v>0.0</v>
      </c>
      <c r="N95" s="12">
        <v>0.0</v>
      </c>
      <c r="O95" s="12">
        <v>0.0</v>
      </c>
      <c r="P95" s="12">
        <v>0.0</v>
      </c>
      <c r="Q95" s="12">
        <v>0.0</v>
      </c>
      <c r="R95" s="15">
        <f>R89</f>
        <v>27079</v>
      </c>
      <c r="S95" s="15">
        <v>4.0</v>
      </c>
      <c r="T95" s="15">
        <v>1000.0</v>
      </c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</row>
    <row r="97" ht="24.75" customHeight="1">
      <c r="A97" s="1" t="s">
        <v>42</v>
      </c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3"/>
      <c r="S97" s="3"/>
      <c r="T97" s="3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</row>
    <row r="99" ht="32.25" customHeight="1">
      <c r="A99" s="5" t="s">
        <v>1</v>
      </c>
      <c r="B99" s="5" t="s">
        <v>2</v>
      </c>
      <c r="C99" s="5" t="s">
        <v>3</v>
      </c>
      <c r="D99" s="5" t="s">
        <v>4</v>
      </c>
      <c r="E99" s="5" t="s">
        <v>5</v>
      </c>
      <c r="F99" s="5" t="s">
        <v>6</v>
      </c>
      <c r="G99" s="5" t="s">
        <v>7</v>
      </c>
      <c r="H99" s="5" t="s">
        <v>8</v>
      </c>
      <c r="I99" s="5" t="s">
        <v>9</v>
      </c>
      <c r="J99" s="5" t="s">
        <v>10</v>
      </c>
      <c r="K99" s="5" t="s">
        <v>11</v>
      </c>
      <c r="L99" s="5" t="s">
        <v>12</v>
      </c>
      <c r="M99" s="5" t="s">
        <v>13</v>
      </c>
      <c r="N99" s="6" t="s">
        <v>14</v>
      </c>
      <c r="O99" s="7"/>
      <c r="P99" s="7"/>
      <c r="Q99" s="8"/>
      <c r="R99" s="4"/>
      <c r="S99" s="4"/>
      <c r="T99" s="4"/>
    </row>
    <row r="100" ht="39.0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10" t="s">
        <v>15</v>
      </c>
      <c r="O100" s="10" t="s">
        <v>16</v>
      </c>
      <c r="P100" s="10" t="s">
        <v>17</v>
      </c>
      <c r="Q100" s="10" t="s">
        <v>18</v>
      </c>
      <c r="R100" s="11"/>
      <c r="S100" s="11"/>
      <c r="T100" s="11"/>
    </row>
    <row r="101" ht="37.5" customHeight="1">
      <c r="A101" s="12">
        <v>1.0</v>
      </c>
      <c r="B101" s="12" t="s">
        <v>21</v>
      </c>
      <c r="C101" s="13" t="s">
        <v>22</v>
      </c>
      <c r="D101" s="16">
        <v>98206.0</v>
      </c>
      <c r="E101" s="12" t="s">
        <v>23</v>
      </c>
      <c r="F101" s="16">
        <v>884.0</v>
      </c>
      <c r="G101" s="12">
        <f t="shared" ref="G101:J101" si="54">G5+G17+G29+G41+G53+G65+G77+G89</f>
        <v>741</v>
      </c>
      <c r="H101" s="12">
        <f t="shared" si="54"/>
        <v>475</v>
      </c>
      <c r="I101" s="12">
        <f t="shared" si="54"/>
        <v>266</v>
      </c>
      <c r="J101" s="12">
        <f t="shared" si="54"/>
        <v>263</v>
      </c>
      <c r="K101" s="12">
        <v>0.0</v>
      </c>
      <c r="L101" s="12">
        <f t="shared" ref="L101:L107" si="57">I101-J101</f>
        <v>3</v>
      </c>
      <c r="M101" s="14">
        <f t="shared" ref="M101:M102" si="58">J101/I101*100</f>
        <v>98.87218045</v>
      </c>
      <c r="N101" s="12">
        <f t="shared" ref="N101:R101" si="55">N5+N17+N29+N41+N53+N65+N77+N89</f>
        <v>0</v>
      </c>
      <c r="O101" s="12">
        <f t="shared" si="55"/>
        <v>1</v>
      </c>
      <c r="P101" s="12">
        <f t="shared" si="55"/>
        <v>0</v>
      </c>
      <c r="Q101" s="12">
        <f t="shared" si="55"/>
        <v>2</v>
      </c>
      <c r="R101" s="15">
        <f t="shared" si="55"/>
        <v>98206</v>
      </c>
      <c r="S101" s="15">
        <v>9.0</v>
      </c>
      <c r="T101" s="15">
        <v>1000.0</v>
      </c>
    </row>
    <row r="102" ht="37.5" customHeight="1">
      <c r="A102" s="12">
        <v>2.0</v>
      </c>
      <c r="B102" s="12" t="s">
        <v>21</v>
      </c>
      <c r="C102" s="13" t="s">
        <v>24</v>
      </c>
      <c r="D102" s="16">
        <v>196412.0</v>
      </c>
      <c r="E102" s="12" t="s">
        <v>25</v>
      </c>
      <c r="F102" s="16">
        <v>196.0</v>
      </c>
      <c r="G102" s="12">
        <f t="shared" ref="G102:J102" si="56">G6+G18+G30+G42+G54+G66+G78+G90</f>
        <v>208</v>
      </c>
      <c r="H102" s="12">
        <f t="shared" si="56"/>
        <v>190</v>
      </c>
      <c r="I102" s="12">
        <f t="shared" si="56"/>
        <v>18</v>
      </c>
      <c r="J102" s="12">
        <f t="shared" si="56"/>
        <v>18</v>
      </c>
      <c r="K102" s="12">
        <v>0.0</v>
      </c>
      <c r="L102" s="12">
        <f t="shared" si="57"/>
        <v>0</v>
      </c>
      <c r="M102" s="14">
        <f t="shared" si="58"/>
        <v>100</v>
      </c>
      <c r="N102" s="12">
        <f t="shared" ref="N102:R102" si="59">N6+N18+N30+N42+N54+N66+N78+N90</f>
        <v>0</v>
      </c>
      <c r="O102" s="12">
        <f t="shared" si="59"/>
        <v>0</v>
      </c>
      <c r="P102" s="12">
        <f t="shared" si="59"/>
        <v>0</v>
      </c>
      <c r="Q102" s="12">
        <f t="shared" si="59"/>
        <v>0</v>
      </c>
      <c r="R102" s="15">
        <f t="shared" si="59"/>
        <v>982060</v>
      </c>
      <c r="S102" s="15">
        <v>1.0</v>
      </c>
      <c r="T102" s="15">
        <v>1000.0</v>
      </c>
    </row>
    <row r="103" ht="37.5" customHeight="1">
      <c r="A103" s="12">
        <v>3.0</v>
      </c>
      <c r="B103" s="12" t="s">
        <v>21</v>
      </c>
      <c r="C103" s="13" t="s">
        <v>26</v>
      </c>
      <c r="D103" s="16">
        <v>98206.0</v>
      </c>
      <c r="E103" s="12" t="s">
        <v>27</v>
      </c>
      <c r="F103" s="16">
        <v>196.0</v>
      </c>
      <c r="G103" s="12">
        <f t="shared" ref="G103:J103" si="60">G7+G19+G31+G43+G55+G67+G79+G91</f>
        <v>109</v>
      </c>
      <c r="H103" s="12">
        <f t="shared" si="60"/>
        <v>93</v>
      </c>
      <c r="I103" s="12">
        <f t="shared" si="60"/>
        <v>16</v>
      </c>
      <c r="J103" s="12">
        <f t="shared" si="60"/>
        <v>16</v>
      </c>
      <c r="K103" s="12">
        <v>0.0</v>
      </c>
      <c r="L103" s="12">
        <f t="shared" si="57"/>
        <v>0</v>
      </c>
      <c r="M103" s="14">
        <v>0.0</v>
      </c>
      <c r="N103" s="12">
        <f t="shared" ref="N103:R103" si="61">N7+N19+N31+N43+N55+N67+N79+N91</f>
        <v>0</v>
      </c>
      <c r="O103" s="12">
        <f t="shared" si="61"/>
        <v>0</v>
      </c>
      <c r="P103" s="12">
        <f t="shared" si="61"/>
        <v>0</v>
      </c>
      <c r="Q103" s="12">
        <f t="shared" si="61"/>
        <v>0</v>
      </c>
      <c r="R103" s="15">
        <f t="shared" si="61"/>
        <v>98206</v>
      </c>
      <c r="S103" s="15">
        <v>2.0</v>
      </c>
      <c r="T103" s="15">
        <v>1000.0</v>
      </c>
    </row>
    <row r="104" ht="37.5" customHeight="1">
      <c r="A104" s="12">
        <v>4.0</v>
      </c>
      <c r="B104" s="12" t="s">
        <v>21</v>
      </c>
      <c r="C104" s="13" t="s">
        <v>28</v>
      </c>
      <c r="D104" s="16">
        <v>98206.0</v>
      </c>
      <c r="E104" s="12" t="s">
        <v>29</v>
      </c>
      <c r="F104" s="12">
        <f>ROUND(S104/T104*R104,0)</f>
        <v>91</v>
      </c>
      <c r="G104" s="12">
        <f t="shared" ref="G104:J104" si="62">G8+G20+G32+G44+G56+G68+G80+G92</f>
        <v>81</v>
      </c>
      <c r="H104" s="12">
        <f t="shared" si="62"/>
        <v>3</v>
      </c>
      <c r="I104" s="12">
        <f t="shared" si="62"/>
        <v>78</v>
      </c>
      <c r="J104" s="12">
        <f t="shared" si="62"/>
        <v>76</v>
      </c>
      <c r="K104" s="12">
        <v>0.0</v>
      </c>
      <c r="L104" s="12">
        <f t="shared" si="57"/>
        <v>2</v>
      </c>
      <c r="M104" s="14">
        <f t="shared" ref="M104:M106" si="65">J104/I104*100</f>
        <v>97.43589744</v>
      </c>
      <c r="N104" s="12">
        <f t="shared" ref="N104:R104" si="63">N8+N20+N32+N44+N56+N68+N80+N92</f>
        <v>1</v>
      </c>
      <c r="O104" s="12">
        <f t="shared" si="63"/>
        <v>0</v>
      </c>
      <c r="P104" s="12">
        <f t="shared" si="63"/>
        <v>0</v>
      </c>
      <c r="Q104" s="12">
        <f t="shared" si="63"/>
        <v>1</v>
      </c>
      <c r="R104" s="15">
        <f t="shared" si="63"/>
        <v>98206</v>
      </c>
      <c r="S104" s="15">
        <v>0.93</v>
      </c>
      <c r="T104" s="15">
        <v>1000.0</v>
      </c>
    </row>
    <row r="105" ht="37.5" customHeight="1">
      <c r="A105" s="12">
        <v>5.0</v>
      </c>
      <c r="B105" s="12" t="s">
        <v>21</v>
      </c>
      <c r="C105" s="13" t="s">
        <v>30</v>
      </c>
      <c r="D105" s="16">
        <v>117847.0</v>
      </c>
      <c r="E105" s="12" t="s">
        <v>31</v>
      </c>
      <c r="F105" s="16">
        <v>9.0</v>
      </c>
      <c r="G105" s="12">
        <f t="shared" ref="G105:J105" si="64">G9+G21+G33+G45+G57+G69+G81+G93</f>
        <v>12</v>
      </c>
      <c r="H105" s="12">
        <f t="shared" si="64"/>
        <v>3</v>
      </c>
      <c r="I105" s="12">
        <f t="shared" si="64"/>
        <v>9</v>
      </c>
      <c r="J105" s="12">
        <f t="shared" si="64"/>
        <v>9</v>
      </c>
      <c r="K105" s="12">
        <v>0.0</v>
      </c>
      <c r="L105" s="12">
        <f t="shared" si="57"/>
        <v>0</v>
      </c>
      <c r="M105" s="14">
        <f t="shared" si="65"/>
        <v>100</v>
      </c>
      <c r="N105" s="12">
        <f t="shared" ref="N105:R105" si="66">N9+N21+N33+N45+N57+N69+N81+N93</f>
        <v>0</v>
      </c>
      <c r="O105" s="12">
        <f t="shared" si="66"/>
        <v>0</v>
      </c>
      <c r="P105" s="12">
        <f t="shared" si="66"/>
        <v>0</v>
      </c>
      <c r="Q105" s="12">
        <f t="shared" si="66"/>
        <v>0</v>
      </c>
      <c r="R105" s="15">
        <f t="shared" si="66"/>
        <v>589236</v>
      </c>
      <c r="S105" s="15">
        <v>0.8</v>
      </c>
      <c r="T105" s="15">
        <v>10000.0</v>
      </c>
    </row>
    <row r="106" ht="37.5" customHeight="1">
      <c r="A106" s="12">
        <v>6.0</v>
      </c>
      <c r="B106" s="12" t="s">
        <v>21</v>
      </c>
      <c r="C106" s="13" t="s">
        <v>32</v>
      </c>
      <c r="D106" s="16">
        <v>98206.0</v>
      </c>
      <c r="E106" s="12" t="s">
        <v>33</v>
      </c>
      <c r="F106" s="16">
        <v>393.0</v>
      </c>
      <c r="G106" s="12">
        <f t="shared" ref="G106:J106" si="67">G10+G22+G34+G46+G58+G70+G82+G94</f>
        <v>45</v>
      </c>
      <c r="H106" s="12">
        <f t="shared" si="67"/>
        <v>32</v>
      </c>
      <c r="I106" s="12">
        <f t="shared" si="67"/>
        <v>13</v>
      </c>
      <c r="J106" s="12">
        <f t="shared" si="67"/>
        <v>13</v>
      </c>
      <c r="K106" s="12">
        <v>0.0</v>
      </c>
      <c r="L106" s="12">
        <f t="shared" si="57"/>
        <v>0</v>
      </c>
      <c r="M106" s="14">
        <f t="shared" si="65"/>
        <v>100</v>
      </c>
      <c r="N106" s="12">
        <f t="shared" ref="N106:R106" si="68">N10+N22+N34+N46+N58+N70+N82+N94</f>
        <v>0</v>
      </c>
      <c r="O106" s="12">
        <f t="shared" si="68"/>
        <v>0</v>
      </c>
      <c r="P106" s="12">
        <f t="shared" si="68"/>
        <v>0</v>
      </c>
      <c r="Q106" s="12">
        <f t="shared" si="68"/>
        <v>0</v>
      </c>
      <c r="R106" s="15">
        <f t="shared" si="68"/>
        <v>98206</v>
      </c>
      <c r="S106" s="15">
        <v>4.0</v>
      </c>
      <c r="T106" s="15">
        <v>1000.0</v>
      </c>
    </row>
    <row r="107" ht="37.5" customHeight="1">
      <c r="A107" s="12">
        <v>7.0</v>
      </c>
      <c r="B107" s="12" t="s">
        <v>21</v>
      </c>
      <c r="C107" s="13" t="s">
        <v>34</v>
      </c>
      <c r="D107" s="16">
        <v>98206.0</v>
      </c>
      <c r="E107" s="12" t="s">
        <v>33</v>
      </c>
      <c r="F107" s="16">
        <v>393.0</v>
      </c>
      <c r="G107" s="12">
        <f t="shared" ref="G107:J107" si="69">G11+G23+G35+G47+G59+G71+G83+G95</f>
        <v>12</v>
      </c>
      <c r="H107" s="12">
        <f t="shared" si="69"/>
        <v>4</v>
      </c>
      <c r="I107" s="12">
        <f t="shared" si="69"/>
        <v>8</v>
      </c>
      <c r="J107" s="12">
        <f t="shared" si="69"/>
        <v>8</v>
      </c>
      <c r="K107" s="12">
        <v>0.0</v>
      </c>
      <c r="L107" s="12">
        <f t="shared" si="57"/>
        <v>0</v>
      </c>
      <c r="M107" s="14">
        <v>0.0</v>
      </c>
      <c r="N107" s="12">
        <f t="shared" ref="N107:R107" si="70">N11+N23+N35+N47+N59+N71+N83+N95</f>
        <v>0</v>
      </c>
      <c r="O107" s="12">
        <f t="shared" si="70"/>
        <v>0</v>
      </c>
      <c r="P107" s="12">
        <f t="shared" si="70"/>
        <v>0</v>
      </c>
      <c r="Q107" s="12">
        <f t="shared" si="70"/>
        <v>0</v>
      </c>
      <c r="R107" s="15">
        <f t="shared" si="70"/>
        <v>98206</v>
      </c>
      <c r="S107" s="15">
        <v>4.0</v>
      </c>
      <c r="T107" s="15">
        <v>1000.0</v>
      </c>
    </row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5">
    <mergeCell ref="G15:G16"/>
    <mergeCell ref="H15:H16"/>
    <mergeCell ref="I15:I16"/>
    <mergeCell ref="J15:J16"/>
    <mergeCell ref="K15:K16"/>
    <mergeCell ref="L15:L16"/>
    <mergeCell ref="M15:M16"/>
    <mergeCell ref="H27:H28"/>
    <mergeCell ref="I27:I28"/>
    <mergeCell ref="J27:J28"/>
    <mergeCell ref="K27:K28"/>
    <mergeCell ref="L27:L28"/>
    <mergeCell ref="M27:M28"/>
    <mergeCell ref="N15:Q15"/>
    <mergeCell ref="A25:Q25"/>
    <mergeCell ref="A27:A28"/>
    <mergeCell ref="B27:B28"/>
    <mergeCell ref="C27:C28"/>
    <mergeCell ref="D27:D28"/>
    <mergeCell ref="E27:E28"/>
    <mergeCell ref="N27:Q27"/>
    <mergeCell ref="G39:G40"/>
    <mergeCell ref="H39:H40"/>
    <mergeCell ref="I39:I40"/>
    <mergeCell ref="J39:J40"/>
    <mergeCell ref="K39:K40"/>
    <mergeCell ref="L39:L40"/>
    <mergeCell ref="M39:M40"/>
    <mergeCell ref="N39:Q39"/>
    <mergeCell ref="F27:F28"/>
    <mergeCell ref="G27:G28"/>
    <mergeCell ref="A37:Q37"/>
    <mergeCell ref="A39:A40"/>
    <mergeCell ref="B39:B40"/>
    <mergeCell ref="C39:C40"/>
    <mergeCell ref="D39:D40"/>
    <mergeCell ref="G51:G52"/>
    <mergeCell ref="H51:H52"/>
    <mergeCell ref="I51:I52"/>
    <mergeCell ref="J51:J52"/>
    <mergeCell ref="K51:K52"/>
    <mergeCell ref="L51:L52"/>
    <mergeCell ref="M51:M52"/>
    <mergeCell ref="N51:Q51"/>
    <mergeCell ref="E39:E40"/>
    <mergeCell ref="F39:F40"/>
    <mergeCell ref="A49:Q49"/>
    <mergeCell ref="A51:A52"/>
    <mergeCell ref="B51:B52"/>
    <mergeCell ref="C51:C52"/>
    <mergeCell ref="D51:D52"/>
    <mergeCell ref="G63:G64"/>
    <mergeCell ref="H63:H64"/>
    <mergeCell ref="I63:I64"/>
    <mergeCell ref="J63:J64"/>
    <mergeCell ref="K63:K64"/>
    <mergeCell ref="L63:L64"/>
    <mergeCell ref="M63:M64"/>
    <mergeCell ref="N63:Q63"/>
    <mergeCell ref="E51:E52"/>
    <mergeCell ref="F51:F52"/>
    <mergeCell ref="A61:Q61"/>
    <mergeCell ref="A63:A64"/>
    <mergeCell ref="B63:B64"/>
    <mergeCell ref="C63:C64"/>
    <mergeCell ref="D63:D64"/>
    <mergeCell ref="G75:G76"/>
    <mergeCell ref="H75:H76"/>
    <mergeCell ref="I75:I76"/>
    <mergeCell ref="J75:J76"/>
    <mergeCell ref="K75:K76"/>
    <mergeCell ref="L75:L76"/>
    <mergeCell ref="M75:M76"/>
    <mergeCell ref="N75:Q75"/>
    <mergeCell ref="E63:E64"/>
    <mergeCell ref="F63:F64"/>
    <mergeCell ref="A73:Q73"/>
    <mergeCell ref="A75:A76"/>
    <mergeCell ref="B75:B76"/>
    <mergeCell ref="C75:C76"/>
    <mergeCell ref="D75:D76"/>
    <mergeCell ref="G87:G88"/>
    <mergeCell ref="H87:H88"/>
    <mergeCell ref="I87:I88"/>
    <mergeCell ref="J87:J88"/>
    <mergeCell ref="K87:K88"/>
    <mergeCell ref="L87:L88"/>
    <mergeCell ref="M87:M88"/>
    <mergeCell ref="N87:Q87"/>
    <mergeCell ref="E75:E76"/>
    <mergeCell ref="F75:F76"/>
    <mergeCell ref="A85:Q85"/>
    <mergeCell ref="A87:A88"/>
    <mergeCell ref="B87:B88"/>
    <mergeCell ref="C87:C88"/>
    <mergeCell ref="D87:D88"/>
    <mergeCell ref="G99:G100"/>
    <mergeCell ref="H99:H100"/>
    <mergeCell ref="I99:I100"/>
    <mergeCell ref="J99:J100"/>
    <mergeCell ref="K99:K100"/>
    <mergeCell ref="L99:L100"/>
    <mergeCell ref="M99:M100"/>
    <mergeCell ref="N99:Q99"/>
    <mergeCell ref="E87:E88"/>
    <mergeCell ref="F87:F88"/>
    <mergeCell ref="A97:Q97"/>
    <mergeCell ref="A99:A100"/>
    <mergeCell ref="B99:B100"/>
    <mergeCell ref="C99:C100"/>
    <mergeCell ref="D99:D100"/>
    <mergeCell ref="G3:G4"/>
    <mergeCell ref="H3:H4"/>
    <mergeCell ref="I3:I4"/>
    <mergeCell ref="J3:J4"/>
    <mergeCell ref="K3:K4"/>
    <mergeCell ref="L3:L4"/>
    <mergeCell ref="M3:M4"/>
    <mergeCell ref="N3:Q3"/>
    <mergeCell ref="A1:Q1"/>
    <mergeCell ref="B3:B4"/>
    <mergeCell ref="C3:C4"/>
    <mergeCell ref="D3:D4"/>
    <mergeCell ref="E3:E4"/>
    <mergeCell ref="F3:F4"/>
    <mergeCell ref="A13:Q13"/>
    <mergeCell ref="A3:A4"/>
    <mergeCell ref="A15:A16"/>
    <mergeCell ref="B15:B16"/>
    <mergeCell ref="C15:C16"/>
    <mergeCell ref="D15:D16"/>
    <mergeCell ref="E15:E16"/>
    <mergeCell ref="F15:F16"/>
    <mergeCell ref="E99:E100"/>
    <mergeCell ref="F99:F100"/>
  </mergeCells>
  <printOptions/>
  <pageMargins bottom="0.75" footer="0.0" header="0.0" left="0.7" right="0.7" top="0.75"/>
  <pageSetup orientation="landscape"/>
  <drawing r:id="rId1"/>
</worksheet>
</file>